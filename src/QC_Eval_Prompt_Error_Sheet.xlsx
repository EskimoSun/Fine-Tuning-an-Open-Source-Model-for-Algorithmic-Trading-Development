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end" sheetId="1" state="visible" r:id="rId1"/>
    <sheet xmlns:r="http://schemas.openxmlformats.org/officeDocument/2006/relationships" name="Results" sheetId="2" state="visible" r:id="rId2"/>
    <sheet xmlns:r="http://schemas.openxmlformats.org/officeDocument/2006/relationships" name="Summar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Arial"/>
      <charset val="1"/>
      <family val="0"/>
      <i val="1"/>
      <color rgb="FF7F7F7F"/>
      <sz val="10"/>
    </font>
  </fonts>
  <fills count="10">
    <fill>
      <patternFill/>
    </fill>
    <fill>
      <patternFill patternType="gray125"/>
    </fill>
    <fill>
      <patternFill patternType="solid">
        <fgColor rgb="FF1F3A5F"/>
        <bgColor rgb="FF333333"/>
      </patternFill>
    </fill>
    <fill>
      <patternFill patternType="solid">
        <fgColor rgb="FFD9D9D9"/>
        <bgColor rgb="FFD9E2F3"/>
      </patternFill>
    </fill>
    <fill>
      <patternFill patternType="solid">
        <fgColor rgb="FFD9E2F3"/>
        <bgColor rgb="FFD9D9D9"/>
      </patternFill>
    </fill>
    <fill>
      <patternFill patternType="solid">
        <fgColor rgb="FFE2EFDA"/>
        <bgColor rgb="FFF2F2F2"/>
      </patternFill>
    </fill>
    <fill>
      <patternFill patternType="solid">
        <fgColor rgb="FFFFF2CC"/>
        <bgColor rgb="FFFCE4D6"/>
      </patternFill>
    </fill>
    <fill>
      <patternFill patternType="solid">
        <fgColor rgb="FFFCE4D6"/>
        <bgColor rgb="FFFFF2CC"/>
      </patternFill>
    </fill>
    <fill>
      <patternFill patternType="solid">
        <fgColor rgb="FFFFFF00"/>
        <bgColor rgb="FFFFFF00"/>
      </patternFill>
    </fill>
    <fill>
      <patternFill patternType="solid">
        <fgColor rgb="FFF2F2F2"/>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general" vertical="top"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 fontId="5" fillId="0" borderId="0" applyAlignment="1" pivotButton="0" quotePrefix="0" xfId="0">
      <alignment horizontal="center" vertical="center" wrapText="1"/>
    </xf>
    <xf numFmtId="2" fontId="5" fillId="0" borderId="0" applyAlignment="1" pivotButton="0" quotePrefix="0" xfId="0">
      <alignment horizontal="center" vertical="center" wrapText="1"/>
    </xf>
    <xf numFmtId="164" fontId="5" fillId="0" borderId="0" applyAlignment="1" pivotButton="0" quotePrefix="0" xfId="0">
      <alignment horizontal="center" vertical="center" wrapText="1"/>
    </xf>
    <xf numFmtId="2" fontId="5" fillId="0" borderId="0" applyAlignment="1" pivotButton="0" quotePrefix="0" xfId="0">
      <alignment horizontal="general" vertical="bottom"/>
    </xf>
    <xf numFmtId="164" fontId="5"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2" borderId="0"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general" vertical="top"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 fontId="5" fillId="0" borderId="0" applyAlignment="1" pivotButton="0" quotePrefix="0" xfId="0">
      <alignment horizontal="center" vertical="center" wrapText="1"/>
    </xf>
    <xf numFmtId="2" fontId="5" fillId="0" borderId="0" applyAlignment="1" pivotButton="0" quotePrefix="0" xfId="0">
      <alignment horizontal="center" vertical="center" wrapText="1"/>
    </xf>
    <xf numFmtId="164" fontId="5" fillId="0" borderId="0" applyAlignment="1" pivotButton="0" quotePrefix="0" xfId="0">
      <alignment horizontal="center" vertical="center" wrapText="1"/>
    </xf>
    <xf numFmtId="2" fontId="5" fillId="0" borderId="0" applyAlignment="1" pivotButton="0" quotePrefix="0" xfId="0">
      <alignment horizontal="general" vertical="bottom"/>
    </xf>
    <xf numFmtId="164" fontId="5"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100" customWidth="1" style="22" min="2" max="2"/>
  </cols>
  <sheetData>
    <row r="1" ht="17.35" customHeight="1" s="23">
      <c r="A1" s="24" t="inlineStr">
        <is>
          <t>QuantConnect Fine-Tuning Eval: Prompt x Error Sheet</t>
        </is>
      </c>
    </row>
    <row r="2" ht="15" customHeight="1" s="23">
      <c r="A2" s="25" t="n"/>
    </row>
    <row r="3" ht="15" customHeight="1" s="23">
      <c r="A3" s="26" t="inlineStr">
        <is>
          <t>Purpose</t>
        </is>
      </c>
      <c r="B3" s="27" t="inlineStr">
        <is>
          <t>Count errors per prompt for Fable (reference), Qwen before fine-tuning and Qwen after fine-tuning, to show error reduction.</t>
        </is>
      </c>
    </row>
    <row r="4" ht="23.85" customHeight="1" s="23">
      <c r="A4" s="26" t="inlineStr">
        <is>
          <t>Layout</t>
        </is>
      </c>
      <c r="B4" s="27" t="inlineStr">
        <is>
          <t>Results tab: one row per prompt. 10 code templates x 10 prompt versions = 100 rows. Column A is the template file (QuantConnect project-templates repo), included under data/templates/.</t>
        </is>
      </c>
    </row>
    <row r="5" ht="23.85" customHeight="1" s="23">
      <c r="A5" s="26" t="inlineStr">
        <is>
          <t>Prompt grid</t>
        </is>
      </c>
      <c r="B5" s="27" t="inlineStr">
        <is>
          <t>Versions 1-9 = 3 customer segments x 3 specificity levels. Version 10 = ceiling prompt (near-pseudocode description of the template; every model should score well on it).</t>
        </is>
      </c>
    </row>
    <row r="6" ht="23.85" customHeight="1" s="23">
      <c r="A6" s="26" t="inlineStr">
        <is>
          <t>Segments</t>
        </is>
      </c>
      <c r="B6" s="27" t="inlineStr">
        <is>
          <t>individual: hobbyist vocabulary, single ticker, no constraints. startup: terse researcher shorthand, in a hurry. institutional: spec-style, mentions risk limits, compliance, matching an internal implementation.</t>
        </is>
      </c>
    </row>
    <row r="7" ht="23.85" customHeight="1" s="23">
      <c r="A7" s="26" t="inlineStr">
        <is>
          <t>Specificity</t>
        </is>
      </c>
      <c r="B7" s="27" t="inlineStr">
        <is>
          <t>vague: key parameters left out, model must choose sensibly. precise: every parameter needed to reproduce the template. over_specified: precise plus extra requirements that do not change trading (logging, plotting, naming, style).</t>
        </is>
      </c>
    </row>
    <row r="8" ht="15" customHeight="1" s="23">
      <c r="A8" s="26" t="inlineStr">
        <is>
          <t>How it's filled</t>
        </is>
      </c>
      <c r="B8" s="27" t="inlineStr">
        <is>
          <t>pipeline.py writes every score column automatically. Only the yellow Human columns are filled by hand.</t>
        </is>
      </c>
    </row>
    <row r="9" ht="15" customHeight="1" s="23">
      <c r="A9" s="26" t="inlineStr">
        <is>
          <t>Compile errors</t>
        </is>
      </c>
      <c r="B9" s="27" t="inlineStr">
        <is>
          <t>Number of error lines in the LEAN build log from the QC compile API. 0 if it builds.</t>
        </is>
      </c>
    </row>
    <row r="10" ht="15" customHeight="1" s="23">
      <c r="A10" s="26" t="inlineStr">
        <is>
          <t>Runtime errors</t>
        </is>
      </c>
      <c r="B10" s="27" t="inlineStr">
        <is>
          <t>1 if the QC backtest crashed, 0 if it completed. A crash stops the backtest, so this is 0 or 1. Blank if it did not compile.</t>
        </is>
      </c>
    </row>
    <row r="11" ht="15" customHeight="1" s="23">
      <c r="A11" s="26" t="inlineStr">
        <is>
          <t>Fidelity to prompt (1-5)</t>
        </is>
      </c>
      <c r="B11" s="27" t="inlineStr">
        <is>
          <t>Scored by Fable as judge, temperature 0, using this rubric:</t>
        </is>
      </c>
    </row>
    <row r="12" ht="15" customHeight="1" s="23">
      <c r="A12" s="26" t="inlineStr">
        <is>
          <t xml:space="preserve">   5</t>
        </is>
      </c>
      <c r="B12" s="27" t="inlineStr">
        <is>
          <t>Every requested asset, indicator, parameter, entry/exit rule and date range is present and correct.</t>
        </is>
      </c>
    </row>
    <row r="13" ht="15" customHeight="1" s="23">
      <c r="A13" s="26" t="inlineStr">
        <is>
          <t xml:space="preserve">   4</t>
        </is>
      </c>
      <c r="B13" s="27" t="inlineStr">
        <is>
          <t>All key elements present; one minor detail off (e.g. wrong rebalance time).</t>
        </is>
      </c>
    </row>
    <row r="14" ht="15" customHeight="1" s="23">
      <c r="A14" s="26" t="inlineStr">
        <is>
          <t xml:space="preserve">   3</t>
        </is>
      </c>
      <c r="B14" s="27" t="inlineStr">
        <is>
          <t>Core idea right but one key element wrong or missing (e.g. wrong SMA length, wrong exit rule).</t>
        </is>
      </c>
    </row>
    <row r="15" ht="15" customHeight="1" s="23">
      <c r="A15" s="26" t="inlineStr">
        <is>
          <t xml:space="preserve">   2</t>
        </is>
      </c>
      <c r="B15" s="27" t="inlineStr">
        <is>
          <t>Recognizably the same strategy family, but several key elements wrong.</t>
        </is>
      </c>
    </row>
    <row r="16" ht="15" customHeight="1" s="23">
      <c r="A16" s="26" t="inlineStr">
        <is>
          <t xml:space="preserve">   1</t>
        </is>
      </c>
      <c r="B16" s="27" t="inlineStr">
        <is>
          <t>Does not implement the requested strategy.</t>
        </is>
      </c>
    </row>
    <row r="17" ht="23.85" customHeight="1" s="23">
      <c r="A17" s="26" t="inlineStr">
        <is>
          <t>Vague prompts</t>
        </is>
      </c>
      <c r="B17" s="27" t="inlineStr">
        <is>
          <t>Vague versions leave details out on purpose. Judge them on whether the code is a sensible version of the request, not on missing parameters.</t>
        </is>
      </c>
    </row>
    <row r="18" ht="23.85" customHeight="1" s="23">
      <c r="A18" s="26" t="inlineStr">
        <is>
          <t>Human check</t>
        </is>
      </c>
      <c r="B18" s="27" t="inlineStr">
        <is>
          <t>pipeline.py marks 10 random rows Y. A team member reads Qwen base's code for those rows and enters a 1-5 fidelity score in column P. Summary compares it to Fable's score.</t>
        </is>
      </c>
    </row>
    <row r="19" ht="15" customHeight="1" s="23">
      <c r="A19" s="26" t="inlineStr">
        <is>
          <t>Notes</t>
        </is>
      </c>
      <c r="B19" s="27" t="inlineStr">
        <is>
          <t>Short error detail written by the pipeline (first compile error, runtime error, static-check warnings).</t>
        </is>
      </c>
    </row>
    <row r="20" ht="15" customHeight="1" s="23">
      <c r="A20" s="25" t="n"/>
    </row>
    <row r="21" ht="15" customHeight="1" s="23">
      <c r="A21" s="26" t="inlineStr">
        <is>
          <t>Data rule</t>
        </is>
      </c>
      <c r="B21" s="27" t="inlineStr">
        <is>
          <t>These 100 prompts are TEST ONLY. Do not use them, or Fable's reference strategies, as training data.</t>
        </is>
      </c>
    </row>
    <row r="22" ht="23.85" customHeight="1" s="23">
      <c r="A22" s="26" t="inlineStr">
        <is>
          <t>Reproducibility</t>
        </is>
      </c>
      <c r="B22" s="27" t="inlineStr">
        <is>
          <t>All generations use temperature 0 and are cached in runs/. Each cached record stores the model id and timestamp, so reruns score the same outputs unless you pass --regenerate.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02"/>
  <sheetViews>
    <sheetView showFormulas="0" showGridLines="1" showRowColHeaders="1" showZeros="1" rightToLeft="0" tabSelected="0" showOutlineSymbols="1" defaultGridColor="1" view="normal" topLeftCell="A1" colorId="64" zoomScale="100" zoomScaleNormal="10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baseColWidth="8" defaultColWidth="8.6796875" defaultRowHeight="15" zeroHeight="0" outlineLevelRow="0"/>
  <cols>
    <col width="38" customWidth="1" style="22" min="1" max="1"/>
    <col width="8" customWidth="1" style="22" min="2" max="2"/>
    <col width="13" customWidth="1" style="22" min="3" max="3"/>
    <col width="14" customWidth="1" style="22" min="4" max="4"/>
    <col width="60" customWidth="1" style="22" min="5" max="5"/>
    <col width="10" customWidth="1" style="22" min="6" max="14"/>
    <col width="12" customWidth="1" style="22" min="15" max="15"/>
    <col width="14" customWidth="1" style="22" min="16" max="16"/>
    <col width="48" customWidth="1" style="22" min="17" max="17"/>
  </cols>
  <sheetData>
    <row r="1" ht="15" customHeight="1" s="23">
      <c r="A1" s="28" t="inlineStr">
        <is>
          <t>Prompt</t>
        </is>
      </c>
      <c r="F1" s="28" t="inlineStr">
        <is>
          <t>Fable (reference)</t>
        </is>
      </c>
      <c r="I1" s="28" t="inlineStr">
        <is>
          <t>Qwen base (pre fine-tune)</t>
        </is>
      </c>
      <c r="L1" s="28" t="inlineStr">
        <is>
          <t>Qwen tuned (post fine-tune)</t>
        </is>
      </c>
      <c r="O1" s="28" t="inlineStr">
        <is>
          <t>Human check</t>
        </is>
      </c>
      <c r="Q1" s="28" t="n"/>
    </row>
    <row r="2" ht="42" customHeight="1" s="23">
      <c r="A2" s="29" t="inlineStr">
        <is>
          <t>Code template</t>
        </is>
      </c>
      <c r="B2" s="29" t="inlineStr">
        <is>
          <t>Version</t>
        </is>
      </c>
      <c r="C2" s="29" t="inlineStr">
        <is>
          <t>Segment</t>
        </is>
      </c>
      <c r="D2" s="29" t="inlineStr">
        <is>
          <t>Specificity</t>
        </is>
      </c>
      <c r="E2" s="29" t="inlineStr">
        <is>
          <t>Prompt text</t>
        </is>
      </c>
      <c r="F2" s="30" t="inlineStr">
        <is>
          <t>Compile errors</t>
        </is>
      </c>
      <c r="G2" s="30" t="inlineStr">
        <is>
          <t>Runtime errors</t>
        </is>
      </c>
      <c r="H2" s="30" t="inlineStr">
        <is>
          <t>Fidelity (1-5)</t>
        </is>
      </c>
      <c r="I2" s="31" t="inlineStr">
        <is>
          <t>Compile errors</t>
        </is>
      </c>
      <c r="J2" s="31" t="inlineStr">
        <is>
          <t>Runtime errors</t>
        </is>
      </c>
      <c r="K2" s="31" t="inlineStr">
        <is>
          <t>Fidelity (1-5)</t>
        </is>
      </c>
      <c r="L2" s="32" t="inlineStr">
        <is>
          <t>Compile errors</t>
        </is>
      </c>
      <c r="M2" s="32" t="inlineStr">
        <is>
          <t>Runtime errors</t>
        </is>
      </c>
      <c r="N2" s="32" t="inlineStr">
        <is>
          <t>Fidelity (1-5)</t>
        </is>
      </c>
      <c r="O2" s="33" t="inlineStr">
        <is>
          <t>Human checked (Y/N)</t>
        </is>
      </c>
      <c r="P2" s="33" t="inlineStr">
        <is>
          <t>Human fidelity, Qwen base (1-5)</t>
        </is>
      </c>
      <c r="Q2" s="29" t="inlineStr">
        <is>
          <t>Notes</t>
        </is>
      </c>
    </row>
    <row r="3" ht="35.05" customHeight="1" s="23">
      <c r="A3" s="34" t="inlineStr">
        <is>
          <t>equity-rsi-overbought-oversold/main.py</t>
        </is>
      </c>
      <c r="B3" s="34" t="n">
        <v>1</v>
      </c>
      <c r="C3" s="34" t="inlineStr">
        <is>
          <t>individual</t>
        </is>
      </c>
      <c r="D3" s="34" t="inlineStr">
        <is>
          <t>vague</t>
        </is>
      </c>
      <c r="E3" s="35" t="inlineStr">
        <is>
          <t>Can you make me a bot for QQQ that buys when the RSI says it's oversold and shorts when it says overbought? I usually look at the hourly chart. Test it on the last few months of 2024.</t>
        </is>
      </c>
      <c r="F3" s="34" t="n"/>
      <c r="G3" s="34" t="n"/>
      <c r="H3" s="34" t="n"/>
      <c r="I3" s="34" t="n"/>
      <c r="J3" s="34" t="n"/>
      <c r="K3" s="34" t="n"/>
      <c r="L3" s="34" t="n"/>
      <c r="M3" s="34" t="n"/>
      <c r="N3" s="34" t="n"/>
      <c r="O3" s="36" t="inlineStr">
        <is>
          <t>Y</t>
        </is>
      </c>
      <c r="P3" s="36" t="n"/>
      <c r="Q3" s="35" t="n"/>
    </row>
    <row r="4" ht="46.25" customHeight="1" s="23">
      <c r="A4" s="34" t="inlineStr">
        <is>
          <t>equity-rsi-overbought-oversold/main.py</t>
        </is>
      </c>
      <c r="B4" s="34" t="n">
        <v>2</v>
      </c>
      <c r="C4" s="34" t="inlineStr">
        <is>
          <t>individual</t>
        </is>
      </c>
      <c r="D4" s="34" t="inlineStr">
        <is>
          <t>precise</t>
        </is>
      </c>
      <c r="E4" s="35" t="inlineStr">
        <is>
          <t>I want a QQQ bot on 1 hour candles. Use the 14 period RSI. Buy with everything when RSI goes under 30 and sell once it's back over 50. Short with everything when RSI goes over 70 and buy back once it's under 50. Run it Sept 1 to Dec 31 2024 with 100k.</t>
        </is>
      </c>
      <c r="F4" s="34" t="n"/>
      <c r="G4" s="34" t="n"/>
      <c r="H4" s="34" t="n"/>
      <c r="I4" s="34" t="n"/>
      <c r="J4" s="34" t="n"/>
      <c r="K4" s="34" t="n"/>
      <c r="L4" s="34" t="n"/>
      <c r="M4" s="34" t="n"/>
      <c r="N4" s="34" t="n"/>
      <c r="O4" s="36" t="inlineStr">
        <is>
          <t>Y</t>
        </is>
      </c>
      <c r="P4" s="36" t="n"/>
      <c r="Q4" s="35" t="inlineStr">
        <is>
          <t>PROMPT_MISS: qqq; PROMPT_MISS: .rsi( / relativestrengthindex; PROMPT_MISS: 30; PROMPT_MISS: 70</t>
        </is>
      </c>
    </row>
    <row r="5" ht="68.65000000000001" customHeight="1" s="23">
      <c r="A5" s="34" t="inlineStr">
        <is>
          <t>equity-rsi-overbought-oversold/main.py</t>
        </is>
      </c>
      <c r="B5" s="34" t="n">
        <v>3</v>
      </c>
      <c r="C5" s="34" t="inlineStr">
        <is>
          <t>individual</t>
        </is>
      </c>
      <c r="D5" s="34" t="inlineStr">
        <is>
          <t>over_specified</t>
        </is>
      </c>
      <c r="E5" s="35" t="inlineStr">
        <is>
          <t>I want a QQQ bot on 1 hour candles. Use the 14 period RSI (the Wilder kind). Buy with everything when RSI goes under 30 and sell once it's back over 50. Short with everything when RSI goes over 70 and buy back once it's under 50. Run it Sept 1 to Dec 31 2024 with 100k. Also plot the RSI on a chart so I can see it, name the class RsiBot, don't trade until the RSI has enough data, and put comments explaining each rule.</t>
        </is>
      </c>
      <c r="F5" s="34" t="n"/>
      <c r="G5" s="34" t="n"/>
      <c r="H5" s="34" t="n"/>
      <c r="I5" s="34" t="n"/>
      <c r="J5" s="34" t="n"/>
      <c r="K5" s="34" t="n"/>
      <c r="L5" s="34" t="n"/>
      <c r="M5" s="34" t="n"/>
      <c r="N5" s="34" t="n"/>
      <c r="O5" s="36" t="inlineStr">
        <is>
          <t>Y</t>
        </is>
      </c>
      <c r="P5" s="36" t="n"/>
      <c r="Q5" s="35" t="inlineStr">
        <is>
          <t>PROMPT_MISS: qqq; PROMPT_MISS: .rsi( / relativestrengthindex; PROMPT_MISS: 30; PROMPT_MISS: 70</t>
        </is>
      </c>
    </row>
    <row r="6" ht="23.85" customHeight="1" s="23">
      <c r="A6" s="34" t="inlineStr">
        <is>
          <t>equity-rsi-overbought-oversold/main.py</t>
        </is>
      </c>
      <c r="B6" s="34" t="n">
        <v>4</v>
      </c>
      <c r="C6" s="34" t="inlineStr">
        <is>
          <t>startup</t>
        </is>
      </c>
      <c r="D6" s="34" t="inlineStr">
        <is>
          <t>vague</t>
        </is>
      </c>
      <c r="E6" s="35" t="inlineStr">
        <is>
          <t>QQQ RSI mean-rev, hourly, long oversold / short overbought, exit at midline. Q4 2024. Need it today.</t>
        </is>
      </c>
      <c r="F6" s="34" t="n"/>
      <c r="G6" s="34" t="n"/>
      <c r="H6" s="34" t="n"/>
      <c r="I6" s="34" t="n"/>
      <c r="J6" s="34" t="n"/>
      <c r="K6" s="34" t="n"/>
      <c r="L6" s="34" t="n"/>
      <c r="M6" s="34" t="n"/>
      <c r="N6" s="34" t="n"/>
      <c r="O6" s="36" t="inlineStr">
        <is>
          <t>Y</t>
        </is>
      </c>
      <c r="P6" s="36" t="n"/>
      <c r="Q6" s="35" t="n"/>
    </row>
    <row r="7" ht="23.85" customHeight="1" s="23">
      <c r="A7" s="34" t="inlineStr">
        <is>
          <t>equity-rsi-overbought-oversold/main.py</t>
        </is>
      </c>
      <c r="B7" s="34" t="n">
        <v>5</v>
      </c>
      <c r="C7" s="34" t="inlineStr">
        <is>
          <t>startup</t>
        </is>
      </c>
      <c r="D7" s="34" t="inlineStr">
        <is>
          <t>precise</t>
        </is>
      </c>
      <c r="E7" s="35" t="inlineStr">
        <is>
          <t>QQQ hourly, RSI(14). Long 100% &lt;30, flat &gt;50. Short 100% &gt;70, flat &lt;50. 2024-09-01 to 2024-12-31, 100k. Gate on indicator ready.</t>
        </is>
      </c>
      <c r="F7" s="34" t="n"/>
      <c r="G7" s="34" t="n"/>
      <c r="H7" s="34" t="n"/>
      <c r="I7" s="34" t="n"/>
      <c r="J7" s="34" t="n"/>
      <c r="K7" s="34" t="n"/>
      <c r="L7" s="34" t="n"/>
      <c r="M7" s="34" t="n"/>
      <c r="N7" s="34" t="n"/>
      <c r="O7" s="36" t="inlineStr">
        <is>
          <t>Y</t>
        </is>
      </c>
      <c r="P7" s="36" t="n"/>
      <c r="Q7" s="35" t="inlineStr">
        <is>
          <t>PROMPT_MISS: qqq; PROMPT_MISS: .rsi( / relativestrengthindex; PROMPT_MISS: 30; PROMPT_MISS: 70</t>
        </is>
      </c>
    </row>
    <row r="8" ht="46.25" customHeight="1" s="23">
      <c r="A8" s="34" t="inlineStr">
        <is>
          <t>equity-rsi-overbought-oversold/main.py</t>
        </is>
      </c>
      <c r="B8" s="34" t="n">
        <v>6</v>
      </c>
      <c r="C8" s="34" t="inlineStr">
        <is>
          <t>startup</t>
        </is>
      </c>
      <c r="D8" s="34" t="inlineStr">
        <is>
          <t>over_specified</t>
        </is>
      </c>
      <c r="E8" s="35" t="inlineStr">
        <is>
          <t>QQQ hourly, RSI(14) Wilder. Long 100% &lt;30, flat &gt;50. Short 100% &gt;70, flat &lt;50. 2024-09-01 to 2024-12-31, 100k. Gate on indicator ready. Also: auto warm-up on, plot RSI, snake_case API only, one class, no helper files, keep it under 40 lines so we can diff it fast.</t>
        </is>
      </c>
      <c r="F8" s="34" t="n"/>
      <c r="G8" s="34" t="n"/>
      <c r="H8" s="34" t="n"/>
      <c r="I8" s="34" t="n"/>
      <c r="J8" s="34" t="n"/>
      <c r="K8" s="34" t="n"/>
      <c r="L8" s="34" t="n"/>
      <c r="M8" s="34" t="n"/>
      <c r="N8" s="34" t="n"/>
      <c r="O8" s="36" t="inlineStr">
        <is>
          <t>Y</t>
        </is>
      </c>
      <c r="P8" s="36" t="n"/>
      <c r="Q8" s="35" t="inlineStr">
        <is>
          <t>PROMPT_MISS: qqq; PROMPT_MISS: .rsi( / relativestrengthindex; PROMPT_MISS: 30; PROMPT_MISS: 70</t>
        </is>
      </c>
    </row>
    <row r="9" ht="46.25" customHeight="1" s="23">
      <c r="A9" s="34" t="inlineStr">
        <is>
          <t>equity-rsi-overbought-oversold/main.py</t>
        </is>
      </c>
      <c r="B9" s="34" t="n">
        <v>7</v>
      </c>
      <c r="C9" s="34" t="inlineStr">
        <is>
          <t>institutional</t>
        </is>
      </c>
      <c r="D9" s="34" t="inlineStr">
        <is>
          <t>vague</t>
        </is>
      </c>
      <c r="E9" s="35" t="inlineStr">
        <is>
          <t>Our research desk needs a baseline two-sided RSI mean-reversion algorithm on QQQ at hourly resolution for the September to December 2024 window, consistent with our internal implementation. Standard paper account. Use conventional thresholds.</t>
        </is>
      </c>
      <c r="F9" s="34" t="n"/>
      <c r="G9" s="34" t="n"/>
      <c r="H9" s="34" t="n"/>
      <c r="I9" s="34" t="n"/>
      <c r="J9" s="34" t="n"/>
      <c r="K9" s="34" t="n"/>
      <c r="L9" s="34" t="n"/>
      <c r="M9" s="34" t="n"/>
      <c r="N9" s="34" t="n"/>
      <c r="O9" s="36" t="inlineStr">
        <is>
          <t>Y</t>
        </is>
      </c>
      <c r="P9" s="36" t="n"/>
      <c r="Q9" s="35" t="n"/>
    </row>
    <row r="10" ht="68.65000000000001" customHeight="1" s="23">
      <c r="A10" s="34" t="inlineStr">
        <is>
          <t>equity-rsi-overbought-oversold/main.py</t>
        </is>
      </c>
      <c r="B10" s="34" t="n">
        <v>8</v>
      </c>
      <c r="C10" s="34" t="inlineStr">
        <is>
          <t>institutional</t>
        </is>
      </c>
      <c r="D10" s="34" t="inlineStr">
        <is>
          <t>precise</t>
        </is>
      </c>
      <c r="E10" s="35" t="inlineStr">
        <is>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t>
        </is>
      </c>
      <c r="F10" s="34" t="n"/>
      <c r="G10" s="34" t="n"/>
      <c r="H10" s="34" t="n"/>
      <c r="I10" s="34" t="n"/>
      <c r="J10" s="34" t="n"/>
      <c r="K10" s="34" t="n"/>
      <c r="L10" s="34" t="n"/>
      <c r="M10" s="34" t="n"/>
      <c r="N10" s="34" t="n"/>
      <c r="O10" s="36" t="inlineStr">
        <is>
          <t>Y</t>
        </is>
      </c>
      <c r="P10" s="36" t="n"/>
      <c r="Q10" s="35" t="inlineStr">
        <is>
          <t>PROMPT_MISS: qqq; PROMPT_MISS: .rsi( / relativestrengthindex; PROMPT_MISS: 30; PROMPT_MISS: 70</t>
        </is>
      </c>
    </row>
    <row r="11" ht="113.4" customHeight="1" s="23">
      <c r="A11" s="34" t="inlineStr">
        <is>
          <t>equity-rsi-overbought-oversold/main.py</t>
        </is>
      </c>
      <c r="B11" s="34" t="n">
        <v>9</v>
      </c>
      <c r="C11" s="34" t="inlineStr">
        <is>
          <t>institutional</t>
        </is>
      </c>
      <c r="D11" s="34" t="inlineStr">
        <is>
          <t>over_specified</t>
        </is>
      </c>
      <c r="E11" s="35" t="inlineStr">
        <is>
          <t>Implement the desk's two-sided RSI mean-reversion reference on QQQ. Resolution: hourly. Window: 2024-09-01 to 2024-12-31. Capital: 100,000. Indicator: RSI, 14 periods, Wilder smoothing. Rules: flat or short and RSI below 30, allocate 100% long; long and RSI above 50, liquidate; flat or long and RSI above 70, allocate 100% short; short and RSI below 50, liquidate. No signals before the indicator is ready. Compliance: plot the RSI for audit, use the current snake_case QuantConnect API per our style guide, type-annotate initialize and on_data, enable automatic indicator warm-up, and keep position sizing at exactly 100% notional, no leverage beyond that.</t>
        </is>
      </c>
      <c r="F11" s="34" t="n"/>
      <c r="G11" s="34" t="n"/>
      <c r="H11" s="34" t="n"/>
      <c r="I11" s="34" t="n"/>
      <c r="J11" s="34" t="n"/>
      <c r="K11" s="34" t="n"/>
      <c r="L11" s="34" t="n"/>
      <c r="M11" s="34" t="n"/>
      <c r="N11" s="34" t="n"/>
      <c r="O11" s="36" t="inlineStr">
        <is>
          <t>Y</t>
        </is>
      </c>
      <c r="P11" s="36" t="n"/>
      <c r="Q11" s="35" t="inlineStr">
        <is>
          <t>PROMPT_MISS: qqq; PROMPT_MISS: .rsi( / relativestrengthindex; PROMPT_MISS: 30; PROMPT_MISS: 70</t>
        </is>
      </c>
    </row>
    <row r="12" ht="102.2" customHeight="1" s="23">
      <c r="A12" s="34" t="inlineStr">
        <is>
          <t>equity-rsi-overbought-oversold/main.py</t>
        </is>
      </c>
      <c r="B12" s="34" t="n">
        <v>10</v>
      </c>
      <c r="C12" s="34" t="inlineStr">
        <is>
          <t>reference</t>
        </is>
      </c>
      <c r="D12" s="34" t="inlineStr">
        <is>
          <t>ceiling</t>
        </is>
      </c>
      <c r="E12" s="35" t="inlineStr">
        <is>
          <t>QuantConnect Python, current snake_case API. In initialize: set_start_date(2024, 9, 1), set_end_date(2024, 12, 31), set_cash(100000), settings.automatic_indicator_warm_up = True, equity = add_equity('QQQ', Resolution.HOUR), rsi = self.rsi(equity, 14, MovingAverageType.WILDERS, Resolution.HOUR), plot_indicator('RSI', rsi). In on_data: return unless rsi.is_ready; read equity.holdings.quantity; quantity &lt;= 0 and rsi &lt; 30 -&gt; set_holdings(equity, 1); quantity &gt; 0 and rsi &gt; 50 -&gt; liquidate(); quantity &gt;= 0 and rsi &gt; 70 -&gt; set_holdings(equity, -1); quantity &lt; 0 and rsi &lt; 50 -&gt; liquidate().</t>
        </is>
      </c>
      <c r="F12" s="34" t="n"/>
      <c r="G12" s="34" t="n"/>
      <c r="H12" s="34" t="n"/>
      <c r="I12" s="34" t="n"/>
      <c r="J12" s="34" t="n"/>
      <c r="K12" s="34" t="n"/>
      <c r="L12" s="34" t="n"/>
      <c r="M12" s="34" t="n"/>
      <c r="N12" s="34" t="n"/>
      <c r="O12" s="36" t="inlineStr">
        <is>
          <t>Y</t>
        </is>
      </c>
      <c r="P12" s="36" t="n"/>
      <c r="Q12" s="35" t="inlineStr">
        <is>
          <t>PROMPT_MISS: qqq; PROMPT_MISS: .rsi( / relativestrengthindex; PROMPT_MISS: 30; PROMPT_MISS: 70</t>
        </is>
      </c>
    </row>
    <row r="13" ht="35.05" customHeight="1" s="23">
      <c r="A13" s="37" t="inlineStr">
        <is>
          <t>equity-bollinger-mean-reversion/main.py</t>
        </is>
      </c>
      <c r="B13" s="37" t="n">
        <v>1</v>
      </c>
      <c r="C13" s="37" t="inlineStr">
        <is>
          <t>individual</t>
        </is>
      </c>
      <c r="D13" s="37" t="inlineStr">
        <is>
          <t>vague</t>
        </is>
      </c>
      <c r="E13" s="35" t="inlineStr">
        <is>
          <t>Make me something for SPY that buys when it drops below the bottom Bollinger band and sells when it comes back to the middle. Just check once a day. Late 2024.</t>
        </is>
      </c>
      <c r="F13" s="34" t="n"/>
      <c r="G13" s="34" t="n"/>
      <c r="H13" s="34" t="n"/>
      <c r="I13" s="34" t="n"/>
      <c r="J13" s="34" t="n"/>
      <c r="K13" s="34" t="n"/>
      <c r="L13" s="34" t="n"/>
      <c r="M13" s="34" t="n"/>
      <c r="N13" s="34" t="n"/>
      <c r="O13" s="36" t="n"/>
      <c r="P13" s="36" t="n"/>
      <c r="Q13" s="35" t="n"/>
    </row>
    <row r="14" ht="46.25" customHeight="1" s="23">
      <c r="A14" s="37" t="inlineStr">
        <is>
          <t>equity-bollinger-mean-reversion/main.py</t>
        </is>
      </c>
      <c r="B14" s="37" t="n">
        <v>2</v>
      </c>
      <c r="C14" s="37" t="inlineStr">
        <is>
          <t>individual</t>
        </is>
      </c>
      <c r="D14" s="37" t="inlineStr">
        <is>
          <t>precise</t>
        </is>
      </c>
      <c r="E14" s="35" t="inlineStr">
        <is>
          <t>SPY strategy. Bollinger Bands with 20 days and 2 standard deviations on daily bars. Once a day before the open: if I'm not in and the price is below the lower band, buy with everything. If I'm in and the price is at or above the middle band, sell everything. Sept 1 to Dec 31 2024, 100k.</t>
        </is>
      </c>
      <c r="F14" s="34" t="n"/>
      <c r="G14" s="34" t="n"/>
      <c r="H14" s="34" t="n"/>
      <c r="I14" s="34" t="n"/>
      <c r="J14" s="34" t="n"/>
      <c r="K14" s="34" t="n"/>
      <c r="L14" s="34" t="n"/>
      <c r="M14" s="34" t="n"/>
      <c r="N14" s="34" t="n"/>
      <c r="O14" s="36" t="n"/>
      <c r="P14" s="36" t="n"/>
      <c r="Q14" s="35" t="n"/>
    </row>
    <row r="15" ht="79.84999999999999" customHeight="1" s="23">
      <c r="A15" s="37" t="inlineStr">
        <is>
          <t>equity-bollinger-mean-reversion/main.py</t>
        </is>
      </c>
      <c r="B15" s="37" t="n">
        <v>3</v>
      </c>
      <c r="C15" s="37" t="inlineStr">
        <is>
          <t>individual</t>
        </is>
      </c>
      <c r="D15" s="37" t="inlineStr">
        <is>
          <t>over_specified</t>
        </is>
      </c>
      <c r="E15" s="35" t="inlineStr">
        <is>
          <t>SPY strategy. Bollinger Bands with 20 days and 2 standard deviations on daily bars. Once a day before the open: if I'm not in and the price is below the lower band, buy with everything. If I'm in and the price is at or above the middle band, sell everything. Sept 1 to Dec 31 2024, 100k. Also plot the upper, middle and lower bands, call the class BollingerDipBuyer, seed the starting prices so day one works, and add a comment above each rule.</t>
        </is>
      </c>
      <c r="F15" s="34" t="n"/>
      <c r="G15" s="34" t="n"/>
      <c r="H15" s="34" t="n"/>
      <c r="I15" s="34" t="n"/>
      <c r="J15" s="34" t="n"/>
      <c r="K15" s="34" t="n"/>
      <c r="L15" s="34" t="n"/>
      <c r="M15" s="34" t="n"/>
      <c r="N15" s="34" t="n"/>
      <c r="O15" s="36" t="n"/>
      <c r="P15" s="36" t="n"/>
      <c r="Q15" s="35" t="n"/>
    </row>
    <row r="16" ht="15" customHeight="1" s="23">
      <c r="A16" s="37" t="inlineStr">
        <is>
          <t>equity-bollinger-mean-reversion/main.py</t>
        </is>
      </c>
      <c r="B16" s="37" t="n">
        <v>4</v>
      </c>
      <c r="C16" s="37" t="inlineStr">
        <is>
          <t>startup</t>
        </is>
      </c>
      <c r="D16" s="37" t="inlineStr">
        <is>
          <t>vague</t>
        </is>
      </c>
      <c r="E16" s="35" t="inlineStr">
        <is>
          <t>SPY BB(20,2) dip buy, exit at midline, daily check. Q4 2024. Quick.</t>
        </is>
      </c>
      <c r="F16" s="34" t="n"/>
      <c r="G16" s="34" t="n"/>
      <c r="H16" s="34" t="n"/>
      <c r="I16" s="34" t="n"/>
      <c r="J16" s="34" t="n"/>
      <c r="K16" s="34" t="n"/>
      <c r="L16" s="34" t="n"/>
      <c r="M16" s="34" t="n"/>
      <c r="N16" s="34" t="n"/>
      <c r="O16" s="36" t="n"/>
      <c r="P16" s="36" t="n"/>
      <c r="Q16" s="35" t="n"/>
    </row>
    <row r="17" ht="35.05" customHeight="1" s="23">
      <c r="A17" s="37" t="inlineStr">
        <is>
          <t>equity-bollinger-mean-reversion/main.py</t>
        </is>
      </c>
      <c r="B17" s="37" t="n">
        <v>5</v>
      </c>
      <c r="C17" s="37" t="inlineStr">
        <is>
          <t>startup</t>
        </is>
      </c>
      <c r="D17" s="37" t="inlineStr">
        <is>
          <t>precise</t>
        </is>
      </c>
      <c r="E17" s="35" t="inlineStr">
        <is>
          <t>SPY, BB(20, 2) on daily bars. Daily check pre-open: flat and price &lt; lower band -&gt; 100% long; invested and price &gt;= middle band -&gt; liquidate. 2024-09-01 to 2024-12-31, 100k.</t>
        </is>
      </c>
      <c r="F17" s="34" t="n"/>
      <c r="G17" s="34" t="n"/>
      <c r="H17" s="34" t="n"/>
      <c r="I17" s="34" t="n"/>
      <c r="J17" s="34" t="n"/>
      <c r="K17" s="34" t="n"/>
      <c r="L17" s="34" t="n"/>
      <c r="M17" s="34" t="n"/>
      <c r="N17" s="34" t="n"/>
      <c r="O17" s="36" t="n"/>
      <c r="P17" s="36" t="n"/>
      <c r="Q17" s="35" t="n"/>
    </row>
    <row r="18" ht="57.45" customHeight="1" s="23">
      <c r="A18" s="37" t="inlineStr">
        <is>
          <t>equity-bollinger-mean-reversion/main.py</t>
        </is>
      </c>
      <c r="B18" s="37" t="n">
        <v>6</v>
      </c>
      <c r="C18" s="37" t="inlineStr">
        <is>
          <t>startup</t>
        </is>
      </c>
      <c r="D18" s="37" t="inlineStr">
        <is>
          <t>over_specified</t>
        </is>
      </c>
      <c r="E18" s="35" t="inlineStr">
        <is>
          <t>SPY, BB(20, 2) on daily bars. Daily check pre-open at 08:00: flat and price &lt; lower band -&gt; 100% long; invested and price &gt;= middle band -&gt; liquidate. 2024-09-01 to 2024-12-31, 100k. Auto warm-up, seed initial prices, plot all three bands, snake_case API, single class, no magic numbers (name the 20 and 2).</t>
        </is>
      </c>
      <c r="F18" s="34" t="n"/>
      <c r="G18" s="34" t="n"/>
      <c r="H18" s="34" t="n"/>
      <c r="I18" s="34" t="n"/>
      <c r="J18" s="34" t="n"/>
      <c r="K18" s="34" t="n"/>
      <c r="L18" s="34" t="n"/>
      <c r="M18" s="34" t="n"/>
      <c r="N18" s="34" t="n"/>
      <c r="O18" s="36" t="n"/>
      <c r="P18" s="36" t="n"/>
      <c r="Q18" s="35" t="n"/>
    </row>
    <row r="19" ht="46.25" customHeight="1" s="23">
      <c r="A19" s="37" t="inlineStr">
        <is>
          <t>equity-bollinger-mean-reversion/main.py</t>
        </is>
      </c>
      <c r="B19" s="37" t="n">
        <v>7</v>
      </c>
      <c r="C19" s="37" t="inlineStr">
        <is>
          <t>institutional</t>
        </is>
      </c>
      <c r="D19" s="37" t="inlineStr">
        <is>
          <t>vague</t>
        </is>
      </c>
      <c r="E19" s="35" t="inlineStr">
        <is>
          <t>We need a Bollinger Band mean-reversion reference on SPY for the September to December 2024 window, daily signal evaluation, consistent with our internal implementation. Standard paper account and standard band parameters.</t>
        </is>
      </c>
      <c r="F19" s="34" t="n"/>
      <c r="G19" s="34" t="n"/>
      <c r="H19" s="34" t="n"/>
      <c r="I19" s="34" t="n"/>
      <c r="J19" s="34" t="n"/>
      <c r="K19" s="34" t="n"/>
      <c r="L19" s="34" t="n"/>
      <c r="M19" s="34" t="n"/>
      <c r="N19" s="34" t="n"/>
      <c r="O19" s="36" t="n"/>
      <c r="P19" s="36" t="n"/>
      <c r="Q19" s="35" t="n"/>
    </row>
    <row r="20" ht="68.65000000000001" customHeight="1" s="23">
      <c r="A20" s="37" t="inlineStr">
        <is>
          <t>equity-bollinger-mean-reversion/main.py</t>
        </is>
      </c>
      <c r="B20" s="37" t="n">
        <v>8</v>
      </c>
      <c r="C20" s="37" t="inlineStr">
        <is>
          <t>institutional</t>
        </is>
      </c>
      <c r="D20" s="37" t="inlineStr">
        <is>
          <t>precise</t>
        </is>
      </c>
      <c r="E20" s="35" t="inlineStr">
        <is>
          <t>Implement the desk's Bollinger mean-reversion reference on SPY. Window: 2024-09-01 to 2024-12-31. Capital: 100,000. Indicator: Bollinger Bands, 20-period, 2 standard deviations, daily resolution. Evaluation: once per trading day at 08:00. Rules: not invested and price below the lower band, allocate 100% long; invested and price at or above the middle band, liquidate.</t>
        </is>
      </c>
      <c r="F20" s="34" t="n"/>
      <c r="G20" s="34" t="n"/>
      <c r="H20" s="34" t="n"/>
      <c r="I20" s="34" t="n"/>
      <c r="J20" s="34" t="n"/>
      <c r="K20" s="34" t="n"/>
      <c r="L20" s="34" t="n"/>
      <c r="M20" s="34" t="n"/>
      <c r="N20" s="34" t="n"/>
      <c r="O20" s="36" t="n"/>
      <c r="P20" s="36" t="n"/>
      <c r="Q20" s="35" t="n"/>
    </row>
    <row r="21" ht="102.2" customHeight="1" s="23">
      <c r="A21" s="37" t="inlineStr">
        <is>
          <t>equity-bollinger-mean-reversion/main.py</t>
        </is>
      </c>
      <c r="B21" s="37" t="n">
        <v>9</v>
      </c>
      <c r="C21" s="37" t="inlineStr">
        <is>
          <t>institutional</t>
        </is>
      </c>
      <c r="D21" s="37" t="inlineStr">
        <is>
          <t>over_specified</t>
        </is>
      </c>
      <c r="E21" s="35" t="inlineStr">
        <is>
          <t>Implement the desk's Bollinger mean-reversion reference on SPY. Window: 2024-09-01 to 2024-12-31. Capital: 100,000. Indicator: Bollinger Bands, 20-period, 2 standard deviations, daily resolution. Evaluation: once per trading day at 08:00 via a scheduled event. Rules: not invested and price below the lower band, allocate 100% long; invested and price at or above the middle band, liquidate. Compliance: plot upper, middle and lower bands for audit, enable automatic indicator warm-up and seed initial prices, use the current snake_case API per our style guide, type-annotate methods, long-only with no leverage.</t>
        </is>
      </c>
      <c r="F21" s="34" t="n"/>
      <c r="G21" s="34" t="n"/>
      <c r="H21" s="34" t="n"/>
      <c r="I21" s="34" t="n"/>
      <c r="J21" s="34" t="n"/>
      <c r="K21" s="34" t="n"/>
      <c r="L21" s="34" t="n"/>
      <c r="M21" s="34" t="n"/>
      <c r="N21" s="34" t="n"/>
      <c r="O21" s="36" t="n"/>
      <c r="P21" s="36" t="n"/>
      <c r="Q21" s="35" t="n"/>
    </row>
    <row r="22" ht="113.4" customHeight="1" s="23">
      <c r="A22" s="37" t="inlineStr">
        <is>
          <t>equity-bollinger-mean-reversion/main.py</t>
        </is>
      </c>
      <c r="B22" s="37" t="n">
        <v>10</v>
      </c>
      <c r="C22" s="37" t="inlineStr">
        <is>
          <t>reference</t>
        </is>
      </c>
      <c r="D22" s="37" t="inlineStr">
        <is>
          <t>ceiling</t>
        </is>
      </c>
      <c r="E22" s="35" t="inlineStr">
        <is>
          <t>QuantConnect Python, snake_case. initialize: set_start_date(2024, 9, 1), set_end_date(2024, 12, 31), set_cash(100000), settings.seed_initial_prices = True, settings.automatic_indicator_warm_up = True, equity = add_equity('SPY'), bb = self.bb(equity, 20, 2, resolution=Resolution.DAILY), plot_indicator('SPY', bb.upper_band, bb.middle_band, bb.lower_band), schedule.on(date_rules.every_day(equity), time_rules.at(8, 0), self._rebalance). _rebalance: not portfolio.invested and equity.price &lt; bb.lower_band.current.value -&gt; set_holdings(equity, 1); portfolio.invested and equity.price &gt;= bb.middle_band.current.value -&gt; liquidate().</t>
        </is>
      </c>
      <c r="F22" s="34" t="n"/>
      <c r="G22" s="34" t="n"/>
      <c r="H22" s="34" t="n"/>
      <c r="I22" s="34" t="n"/>
      <c r="J22" s="34" t="n"/>
      <c r="K22" s="34" t="n"/>
      <c r="L22" s="34" t="n"/>
      <c r="M22" s="34" t="n"/>
      <c r="N22" s="34" t="n"/>
      <c r="O22" s="36" t="n"/>
      <c r="P22" s="36" t="n"/>
      <c r="Q22" s="35" t="n"/>
    </row>
    <row r="23" ht="35.05" customHeight="1" s="23">
      <c r="A23" s="34" t="inlineStr">
        <is>
          <t>equity-atr-volatility-stop/main.py</t>
        </is>
      </c>
      <c r="B23" s="34" t="n">
        <v>1</v>
      </c>
      <c r="C23" s="34" t="inlineStr">
        <is>
          <t>individual</t>
        </is>
      </c>
      <c r="D23" s="34" t="inlineStr">
        <is>
          <t>vague</t>
        </is>
      </c>
      <c r="E23" s="35" t="inlineStr">
        <is>
          <t>I want to basically always hold SPY but have it sell automatically if it drops too far from its recent high, then buy back in right away. Something ATR based. 2022 to 2024.</t>
        </is>
      </c>
      <c r="F23" s="34" t="n"/>
      <c r="G23" s="34" t="n"/>
      <c r="H23" s="34" t="n"/>
      <c r="I23" s="34" t="n"/>
      <c r="J23" s="34" t="n"/>
      <c r="K23" s="34" t="n"/>
      <c r="L23" s="34" t="n"/>
      <c r="M23" s="34" t="n"/>
      <c r="N23" s="34" t="n"/>
      <c r="O23" s="36" t="n"/>
      <c r="P23" s="36" t="n"/>
      <c r="Q23" s="35" t="n"/>
    </row>
    <row r="24" ht="57.45" customHeight="1" s="23">
      <c r="A24" s="34" t="inlineStr">
        <is>
          <t>equity-atr-volatility-stop/main.py</t>
        </is>
      </c>
      <c r="B24" s="34" t="n">
        <v>2</v>
      </c>
      <c r="C24" s="34" t="inlineStr">
        <is>
          <t>individual</t>
        </is>
      </c>
      <c r="D24" s="34" t="inlineStr">
        <is>
          <t>precise</t>
        </is>
      </c>
      <c r="E24" s="35" t="inlineStr">
        <is>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t>
        </is>
      </c>
      <c r="F24" s="34" t="n"/>
      <c r="G24" s="34" t="n"/>
      <c r="H24" s="34" t="n"/>
      <c r="I24" s="34" t="n"/>
      <c r="J24" s="34" t="n"/>
      <c r="K24" s="34" t="n"/>
      <c r="L24" s="34" t="n"/>
      <c r="M24" s="34" t="n"/>
      <c r="N24" s="34" t="n"/>
      <c r="O24" s="36" t="n"/>
      <c r="P24" s="36" t="n"/>
      <c r="Q24" s="35" t="n"/>
    </row>
    <row r="25" ht="79.84999999999999" customHeight="1" s="23">
      <c r="A25" s="34" t="inlineStr">
        <is>
          <t>equity-atr-volatility-stop/main.py</t>
        </is>
      </c>
      <c r="B25" s="34" t="n">
        <v>3</v>
      </c>
      <c r="C25" s="34" t="inlineStr">
        <is>
          <t>individual</t>
        </is>
      </c>
      <c r="D25" s="34" t="inlineStr">
        <is>
          <t>over_specified</t>
        </is>
      </c>
      <c r="E25" s="35" t="inlineStr">
        <is>
          <t>Hold SPY with all my money. Keep track of the highest close since I bought. Use a 14 period ATR. If the close drops below the highest close minus 3 times the ATR, sell everything, then buy again on the next bar and start tracking the high over. Minute data, Jan 1 2022 to Dec 31 2024, 100k. Also plot the stop level and the trailing high on a chart called Stop, name the class AtrTrailingStop, and don't do anything until the ATR has enough data.</t>
        </is>
      </c>
      <c r="F25" s="34" t="n"/>
      <c r="G25" s="34" t="n"/>
      <c r="H25" s="34" t="n"/>
      <c r="I25" s="34" t="n"/>
      <c r="J25" s="34" t="n"/>
      <c r="K25" s="34" t="n"/>
      <c r="L25" s="34" t="n"/>
      <c r="M25" s="34" t="n"/>
      <c r="N25" s="34" t="n"/>
      <c r="O25" s="36" t="n"/>
      <c r="P25" s="36" t="n"/>
      <c r="Q25" s="35" t="n"/>
    </row>
    <row r="26" ht="23.85" customHeight="1" s="23">
      <c r="A26" s="34" t="inlineStr">
        <is>
          <t>equity-atr-volatility-stop/main.py</t>
        </is>
      </c>
      <c r="B26" s="34" t="n">
        <v>4</v>
      </c>
      <c r="C26" s="34" t="inlineStr">
        <is>
          <t>startup</t>
        </is>
      </c>
      <c r="D26" s="34" t="inlineStr">
        <is>
          <t>vague</t>
        </is>
      </c>
      <c r="E26" s="35" t="inlineStr">
        <is>
          <t>SPY long-only w/ chandelier stop, ATR(14) x3, immediate re-entry. 2022-2024. Fast.</t>
        </is>
      </c>
      <c r="F26" s="34" t="n"/>
      <c r="G26" s="34" t="n"/>
      <c r="H26" s="34" t="n"/>
      <c r="I26" s="34" t="n"/>
      <c r="J26" s="34" t="n"/>
      <c r="K26" s="34" t="n"/>
      <c r="L26" s="34" t="n"/>
      <c r="M26" s="34" t="n"/>
      <c r="N26" s="34" t="n"/>
      <c r="O26" s="36" t="n"/>
      <c r="P26" s="36" t="n"/>
      <c r="Q26" s="35" t="n"/>
    </row>
    <row r="27" ht="35.05" customHeight="1" s="23">
      <c r="A27" s="34" t="inlineStr">
        <is>
          <t>equity-atr-volatility-stop/main.py</t>
        </is>
      </c>
      <c r="B27" s="34" t="n">
        <v>5</v>
      </c>
      <c r="C27" s="34" t="inlineStr">
        <is>
          <t>startup</t>
        </is>
      </c>
      <c r="D27" s="34" t="inlineStr">
        <is>
          <t>precise</t>
        </is>
      </c>
      <c r="E27" s="35" t="inlineStr">
        <is>
          <t>SPY minute, long 100%. Trailing high = max close since entry. Stop = high - 3*ATR(14). Close &lt; stop -&gt; liquidate, re-enter 100% next bar, reset high. 2022-01-01 to 2024-12-31, 100k.</t>
        </is>
      </c>
      <c r="F27" s="34" t="n"/>
      <c r="G27" s="34" t="n"/>
      <c r="H27" s="34" t="n"/>
      <c r="I27" s="34" t="n"/>
      <c r="J27" s="34" t="n"/>
      <c r="K27" s="34" t="n"/>
      <c r="L27" s="34" t="n"/>
      <c r="M27" s="34" t="n"/>
      <c r="N27" s="34" t="n"/>
      <c r="O27" s="36" t="n"/>
      <c r="P27" s="36" t="n"/>
      <c r="Q27" s="35" t="n"/>
    </row>
    <row r="28" ht="57.45" customHeight="1" s="23">
      <c r="A28" s="34" t="inlineStr">
        <is>
          <t>equity-atr-volatility-stop/main.py</t>
        </is>
      </c>
      <c r="B28" s="34" t="n">
        <v>6</v>
      </c>
      <c r="C28" s="34" t="inlineStr">
        <is>
          <t>startup</t>
        </is>
      </c>
      <c r="D28" s="34" t="inlineStr">
        <is>
          <t>over_specified</t>
        </is>
      </c>
      <c r="E28" s="35" t="inlineStr">
        <is>
          <t>SPY minute, long 100%. Trailing high = max close since entry. Stop = high - 3*ATR(14). Close &lt; stop -&gt; liquidate, re-enter 100% next bar, reset high. 2022-01-01 to 2024-12-31, 100k. Auto warm-up, gate on atr.is_ready, plot stop + trailing high, snake_case, one class, keep state in two attributes max.</t>
        </is>
      </c>
      <c r="F28" s="34" t="n"/>
      <c r="G28" s="34" t="n"/>
      <c r="H28" s="34" t="n"/>
      <c r="I28" s="34" t="n"/>
      <c r="J28" s="34" t="n"/>
      <c r="K28" s="34" t="n"/>
      <c r="L28" s="34" t="n"/>
      <c r="M28" s="34" t="n"/>
      <c r="N28" s="34" t="n"/>
      <c r="O28" s="36" t="n"/>
      <c r="P28" s="36" t="n"/>
      <c r="Q28" s="35" t="n"/>
    </row>
    <row r="29" ht="46.25" customHeight="1" s="23">
      <c r="A29" s="34" t="inlineStr">
        <is>
          <t>equity-atr-volatility-stop/main.py</t>
        </is>
      </c>
      <c r="B29" s="34" t="n">
        <v>7</v>
      </c>
      <c r="C29" s="34" t="inlineStr">
        <is>
          <t>institutional</t>
        </is>
      </c>
      <c r="D29" s="34" t="inlineStr">
        <is>
          <t>vague</t>
        </is>
      </c>
      <c r="E29" s="35" t="inlineStr">
        <is>
          <t>We need a long-only SPY position with an ATR-based chandelier exit and automatic re-entry for 2022 through 2024, consistent with our internal implementation. Standard paper account. Use the desk's usual ATR multiple.</t>
        </is>
      </c>
      <c r="F29" s="34" t="n"/>
      <c r="G29" s="34" t="n"/>
      <c r="H29" s="34" t="n"/>
      <c r="I29" s="34" t="n"/>
      <c r="J29" s="34" t="n"/>
      <c r="K29" s="34" t="n"/>
      <c r="L29" s="34" t="n"/>
      <c r="M29" s="34" t="n"/>
      <c r="N29" s="34" t="n"/>
      <c r="O29" s="36" t="n"/>
      <c r="P29" s="36" t="n"/>
      <c r="Q29" s="35" t="n"/>
    </row>
    <row r="30" ht="68.65000000000001" customHeight="1" s="23">
      <c r="A30" s="34" t="inlineStr">
        <is>
          <t>equity-atr-volatility-stop/main.py</t>
        </is>
      </c>
      <c r="B30" s="34" t="n">
        <v>8</v>
      </c>
      <c r="C30" s="34" t="inlineStr">
        <is>
          <t>institutional</t>
        </is>
      </c>
      <c r="D30" s="34" t="inlineStr">
        <is>
          <t>precise</t>
        </is>
      </c>
      <c r="E30" s="35" t="inlineStr">
        <is>
          <t>Implement the desk's ATR chandelier stop reference on SPY. Resolution: minute. Window: 2022-01-01 to 2024-12-31. Capital: 100,000. Indicator: ATR, 14 periods. Rules: when flat, allocate 100% long and set the trailing high to the entry close; update the trailing high with each higher close; stop level is trailing high minus 3 times ATR; if a close falls below the stop, liquidate, then re-enter 100% on the next bar and reset the trailing high.</t>
        </is>
      </c>
      <c r="F30" s="34" t="n"/>
      <c r="G30" s="34" t="n"/>
      <c r="H30" s="34" t="n"/>
      <c r="I30" s="34" t="n"/>
      <c r="J30" s="34" t="n"/>
      <c r="K30" s="34" t="n"/>
      <c r="L30" s="34" t="n"/>
      <c r="M30" s="34" t="n"/>
      <c r="N30" s="34" t="n"/>
      <c r="O30" s="36" t="n"/>
      <c r="P30" s="36" t="n"/>
      <c r="Q30" s="35" t="n"/>
    </row>
    <row r="31" ht="102.2" customHeight="1" s="23">
      <c r="A31" s="34" t="inlineStr">
        <is>
          <t>equity-atr-volatility-stop/main.py</t>
        </is>
      </c>
      <c r="B31" s="34" t="n">
        <v>9</v>
      </c>
      <c r="C31" s="34" t="inlineStr">
        <is>
          <t>institutional</t>
        </is>
      </c>
      <c r="D31" s="34" t="inlineStr">
        <is>
          <t>over_specified</t>
        </is>
      </c>
      <c r="E31" s="35" t="inlineStr">
        <is>
          <t>Implement the desk's ATR chandelier stop reference on SPY. Resolution: minute. Window: 2022-01-01 to 2024-12-31. Capital: 100,000. Indicator: ATR, 14 periods, automatic warm-up. Rules: when flat, allocate 100% long and set the trailing high to the entry close; update the trailing high with each higher close; stop level is trailing high minus 3 times ATR; if a close falls below the stop, liquidate, then re-enter 100% on the next bar and reset the trailing high. Compliance: plot the stop level and trailing high for audit, no signals before the ATR is ready, snake_case API per our style guide, type annotations, no leverage, no short positions.</t>
        </is>
      </c>
      <c r="F31" s="34" t="n"/>
      <c r="G31" s="34" t="n"/>
      <c r="H31" s="34" t="n"/>
      <c r="I31" s="34" t="n"/>
      <c r="J31" s="34" t="n"/>
      <c r="K31" s="34" t="n"/>
      <c r="L31" s="34" t="n"/>
      <c r="M31" s="34" t="n"/>
      <c r="N31" s="34" t="n"/>
      <c r="O31" s="36" t="n"/>
      <c r="P31" s="36" t="n"/>
      <c r="Q31" s="35" t="n"/>
    </row>
    <row r="32" ht="124.6" customHeight="1" s="23">
      <c r="A32" s="34" t="inlineStr">
        <is>
          <t>equity-atr-volatility-stop/main.py</t>
        </is>
      </c>
      <c r="B32" s="34" t="n">
        <v>10</v>
      </c>
      <c r="C32" s="34" t="inlineStr">
        <is>
          <t>reference</t>
        </is>
      </c>
      <c r="D32" s="34" t="inlineStr">
        <is>
          <t>ceiling</t>
        </is>
      </c>
      <c r="E32" s="35" t="inlineStr">
        <is>
          <t>QuantConnect Python, snake_case. initialize: set_start_date(2022, 1, 1), set_end_date(2024, 12, 31), set_cash(100000), settings.automatic_indicator_warm_up = True, spy = add_equity('SPY', Resolution.MINUTE), atr = self.atr(spy.symbol, 14), self._trailing_high = 0.0, self._waiting_to_reenter = False. on_data: return unless atr.is_ready and a bar exists; if _waiting_to_reenter: set_holdings(spy, 1.0), _trailing_high = close, clear flag, return; if not portfolio.invested: set_holdings(spy, 1.0), _trailing_high = close, return; _trailing_high = max(_trailing_high, close); stop = _trailing_high - 3.0 * atr.current.value; plot both; if close &lt; stop: liquidate(spy), _waiting_to_reenter = True, _trailing_high = 0.0.</t>
        </is>
      </c>
      <c r="F32" s="34" t="n"/>
      <c r="G32" s="34" t="n"/>
      <c r="H32" s="34" t="n"/>
      <c r="I32" s="34" t="n"/>
      <c r="J32" s="34" t="n"/>
      <c r="K32" s="34" t="n"/>
      <c r="L32" s="34" t="n"/>
      <c r="M32" s="34" t="n"/>
      <c r="N32" s="34" t="n"/>
      <c r="O32" s="36" t="n"/>
      <c r="P32" s="36" t="n"/>
      <c r="Q32" s="35" t="n"/>
    </row>
    <row r="33" ht="35.05" customHeight="1" s="23">
      <c r="A33" s="37" t="inlineStr">
        <is>
          <t>equity-monthly-roc-rotation/main.py</t>
        </is>
      </c>
      <c r="B33" s="37" t="n">
        <v>1</v>
      </c>
      <c r="C33" s="37" t="inlineStr">
        <is>
          <t>individual</t>
        </is>
      </c>
      <c r="D33" s="37" t="inlineStr">
        <is>
          <t>vague</t>
        </is>
      </c>
      <c r="E33" s="35" t="inlineStr">
        <is>
          <t>Make a bot that once a month moves my money into whichever of SPY, EFA, EEM, AGG and GLD have been doing best lately. Hold a few of them. If everything is down just sit in cash. 2022 to 2024.</t>
        </is>
      </c>
      <c r="F33" s="34" t="n"/>
      <c r="G33" s="34" t="n"/>
      <c r="H33" s="34" t="n"/>
      <c r="I33" s="34" t="n"/>
      <c r="J33" s="34" t="n"/>
      <c r="K33" s="34" t="n"/>
      <c r="L33" s="34" t="n"/>
      <c r="M33" s="34" t="n"/>
      <c r="N33" s="34" t="n"/>
      <c r="O33" s="36" t="n"/>
      <c r="P33" s="36" t="n"/>
      <c r="Q33" s="35" t="n"/>
    </row>
    <row r="34" ht="57.45" customHeight="1" s="23">
      <c r="A34" s="37" t="inlineStr">
        <is>
          <t>equity-monthly-roc-rotation/main.py</t>
        </is>
      </c>
      <c r="B34" s="37" t="n">
        <v>2</v>
      </c>
      <c r="C34" s="37" t="inlineStr">
        <is>
          <t>individual</t>
        </is>
      </c>
      <c r="D34" s="37" t="inlineStr">
        <is>
          <t>precise</t>
        </is>
      </c>
      <c r="E34" s="35" t="inlineStr">
        <is>
          <t>Trade SPY, EFA, EEM, AGG and GLD. For each one use the 60 day rate of change on daily bars. On the first trading day of each month, put a third of my money into each of the top 3 by rate of change and sell the others. If all five are negative, sell everything and hold cash. Jan 1 2022 to Dec 31 2024, 100k.</t>
        </is>
      </c>
      <c r="F34" s="34" t="n"/>
      <c r="G34" s="34" t="n"/>
      <c r="H34" s="34" t="n"/>
      <c r="I34" s="34" t="n"/>
      <c r="J34" s="34" t="n"/>
      <c r="K34" s="34" t="n"/>
      <c r="L34" s="34" t="n"/>
      <c r="M34" s="34" t="n"/>
      <c r="N34" s="34" t="n"/>
      <c r="O34" s="36" t="n"/>
      <c r="P34" s="36" t="n"/>
      <c r="Q34" s="35" t="n"/>
    </row>
    <row r="35" ht="79.84999999999999" customHeight="1" s="23">
      <c r="A35" s="37" t="inlineStr">
        <is>
          <t>equity-monthly-roc-rotation/main.py</t>
        </is>
      </c>
      <c r="B35" s="37" t="n">
        <v>3</v>
      </c>
      <c r="C35" s="37" t="inlineStr">
        <is>
          <t>individual</t>
        </is>
      </c>
      <c r="D35" s="37" t="inlineStr">
        <is>
          <t>over_specified</t>
        </is>
      </c>
      <c r="E35" s="35" t="inlineStr">
        <is>
          <t>Trade SPY, EFA, EEM, AGG and GLD. For each one use the 60 day rate of change on daily bars. On the first trading day of each month, a minute after the open, put a third of my money into each of the top 3 by rate of change and sell the others. If all five are negative, sell everything and hold cash. Jan 1 2022 to Dec 31 2024, 100k. Also call the class MonthlyRotation, add a comment explaining the cash rule, and make the 60 and the 3 named variables so I can tweak them.</t>
        </is>
      </c>
      <c r="F35" s="34" t="n"/>
      <c r="G35" s="34" t="n"/>
      <c r="H35" s="34" t="n"/>
      <c r="I35" s="34" t="n"/>
      <c r="J35" s="34" t="n"/>
      <c r="K35" s="34" t="n"/>
      <c r="L35" s="34" t="n"/>
      <c r="M35" s="34" t="n"/>
      <c r="N35" s="34" t="n"/>
      <c r="O35" s="36" t="n"/>
      <c r="P35" s="36" t="n"/>
      <c r="Q35" s="35" t="n"/>
    </row>
    <row r="36" ht="23.85" customHeight="1" s="23">
      <c r="A36" s="37" t="inlineStr">
        <is>
          <t>equity-monthly-roc-rotation/main.py</t>
        </is>
      </c>
      <c r="B36" s="37" t="n">
        <v>4</v>
      </c>
      <c r="C36" s="37" t="inlineStr">
        <is>
          <t>startup</t>
        </is>
      </c>
      <c r="D36" s="37" t="inlineStr">
        <is>
          <t>vague</t>
        </is>
      </c>
      <c r="E36" s="35" t="inlineStr">
        <is>
          <t>Monthly top-3 ROC rotation: SPY/EFA/EEM/AGG/GLD. Cash if all neg. 2022-2024. Quick.</t>
        </is>
      </c>
      <c r="F36" s="34" t="n"/>
      <c r="G36" s="34" t="n"/>
      <c r="H36" s="34" t="n"/>
      <c r="I36" s="34" t="n"/>
      <c r="J36" s="34" t="n"/>
      <c r="K36" s="34" t="n"/>
      <c r="L36" s="34" t="n"/>
      <c r="M36" s="34" t="n"/>
      <c r="N36" s="34" t="n"/>
      <c r="O36" s="36" t="n"/>
      <c r="P36" s="36" t="n"/>
      <c r="Q36" s="35" t="n"/>
    </row>
    <row r="37" ht="35.05" customHeight="1" s="23">
      <c r="A37" s="37" t="inlineStr">
        <is>
          <t>equity-monthly-roc-rotation/main.py</t>
        </is>
      </c>
      <c r="B37" s="37" t="n">
        <v>5</v>
      </c>
      <c r="C37" s="37" t="inlineStr">
        <is>
          <t>startup</t>
        </is>
      </c>
      <c r="D37" s="37" t="inlineStr">
        <is>
          <t>precise</t>
        </is>
      </c>
      <c r="E37" s="35" t="inlineStr">
        <is>
          <t>SPY EFA EEM AGG GLD, ROC(60) daily. Month start +1m: top 3 by ROC at 1/3 each, liquidate rest; all ROC &lt; 0 -&gt; cash. 2022-01-01 to 2024-12-31, 100k.</t>
        </is>
      </c>
      <c r="F37" s="34" t="n"/>
      <c r="G37" s="34" t="n"/>
      <c r="H37" s="34" t="n"/>
      <c r="I37" s="34" t="n"/>
      <c r="J37" s="34" t="n"/>
      <c r="K37" s="34" t="n"/>
      <c r="L37" s="34" t="n"/>
      <c r="M37" s="34" t="n"/>
      <c r="N37" s="34" t="n"/>
      <c r="O37" s="36" t="n"/>
      <c r="P37" s="36" t="n"/>
      <c r="Q37" s="35" t="n"/>
    </row>
    <row r="38" ht="57.45" customHeight="1" s="23">
      <c r="A38" s="37" t="inlineStr">
        <is>
          <t>equity-monthly-roc-rotation/main.py</t>
        </is>
      </c>
      <c r="B38" s="37" t="n">
        <v>6</v>
      </c>
      <c r="C38" s="37" t="inlineStr">
        <is>
          <t>startup</t>
        </is>
      </c>
      <c r="D38" s="37" t="inlineStr">
        <is>
          <t>over_specified</t>
        </is>
      </c>
      <c r="E38" s="35" t="inlineStr">
        <is>
          <t>SPY EFA EEM AGG GLD at minute res, ROC(60) on daily bars. Month start +1m after open: top 3 by ROC at 1/3 each via PortfolioTarget, liquidate rest; all ROC &lt; 0 -&gt; liquidate all. 2022-01-01 to 2024-12-31, 100k. Auto warm-up, snake_case, attach roc to each security object, no history() calls.</t>
        </is>
      </c>
      <c r="F38" s="34" t="n"/>
      <c r="G38" s="34" t="n"/>
      <c r="H38" s="34" t="n"/>
      <c r="I38" s="34" t="n"/>
      <c r="J38" s="34" t="n"/>
      <c r="K38" s="34" t="n"/>
      <c r="L38" s="34" t="n"/>
      <c r="M38" s="34" t="n"/>
      <c r="N38" s="34" t="n"/>
      <c r="O38" s="36" t="n"/>
      <c r="P38" s="36" t="n"/>
      <c r="Q38" s="35" t="n"/>
    </row>
    <row r="39" ht="57.45" customHeight="1" s="23">
      <c r="A39" s="37" t="inlineStr">
        <is>
          <t>equity-monthly-roc-rotation/main.py</t>
        </is>
      </c>
      <c r="B39" s="37" t="n">
        <v>7</v>
      </c>
      <c r="C39" s="37" t="inlineStr">
        <is>
          <t>institutional</t>
        </is>
      </c>
      <c r="D39" s="37" t="inlineStr">
        <is>
          <t>vague</t>
        </is>
      </c>
      <c r="E39" s="35" t="inlineStr">
        <is>
          <t>We need a monthly cross-asset momentum rotation across US equity, developed ex-US, emerging markets, aggregate bonds and gold (SPY, EFA, EEM, AGG, GLD) for 2022 through 2024, consistent with our internal implementation, with a cash fallback in broad drawdowns. Standard paper account.</t>
        </is>
      </c>
      <c r="F39" s="34" t="n"/>
      <c r="G39" s="34" t="n"/>
      <c r="H39" s="34" t="n"/>
      <c r="I39" s="34" t="n"/>
      <c r="J39" s="34" t="n"/>
      <c r="K39" s="34" t="n"/>
      <c r="L39" s="34" t="n"/>
      <c r="M39" s="34" t="n"/>
      <c r="N39" s="34" t="n"/>
      <c r="O39" s="36" t="n"/>
      <c r="P39" s="36" t="n"/>
      <c r="Q39" s="35" t="n"/>
    </row>
    <row r="40" ht="68.65000000000001" customHeight="1" s="23">
      <c r="A40" s="37" t="inlineStr">
        <is>
          <t>equity-monthly-roc-rotation/main.py</t>
        </is>
      </c>
      <c r="B40" s="37" t="n">
        <v>8</v>
      </c>
      <c r="C40" s="37" t="inlineStr">
        <is>
          <t>institutional</t>
        </is>
      </c>
      <c r="D40" s="37" t="inlineStr">
        <is>
          <t>precise</t>
        </is>
      </c>
      <c r="E40" s="35" t="inlineStr">
        <is>
          <t>Implement the desk's monthly ROC rotation reference. Assets: SPY, EFA, EEM, AGG, GLD. Window: 2022-01-01 to 2024-12-31. Capital: 100,000. Signal: 60-period rate of change on daily bars per asset. Schedule: first trading day of each month, one minute after the open. Rules: rank by ROC, hold the top 3 at one third each, liquidate the rest; if all five ROC values are negative, liquidate everything and hold cash.</t>
        </is>
      </c>
      <c r="F40" s="34" t="n"/>
      <c r="G40" s="34" t="n"/>
      <c r="H40" s="34" t="n"/>
      <c r="I40" s="34" t="n"/>
      <c r="J40" s="34" t="n"/>
      <c r="K40" s="34" t="n"/>
      <c r="L40" s="34" t="n"/>
      <c r="M40" s="34" t="n"/>
      <c r="N40" s="34" t="n"/>
      <c r="O40" s="36" t="n"/>
      <c r="P40" s="36" t="n"/>
      <c r="Q40" s="35" t="n"/>
    </row>
    <row r="41" ht="113.4" customHeight="1" s="23">
      <c r="A41" s="37" t="inlineStr">
        <is>
          <t>equity-monthly-roc-rotation/main.py</t>
        </is>
      </c>
      <c r="B41" s="37" t="n">
        <v>9</v>
      </c>
      <c r="C41" s="37" t="inlineStr">
        <is>
          <t>institutional</t>
        </is>
      </c>
      <c r="D41" s="37" t="inlineStr">
        <is>
          <t>over_specified</t>
        </is>
      </c>
      <c r="E41" s="35" t="inlineStr">
        <is>
          <t>Implement the desk's monthly ROC rotation reference. Assets: SPY, EFA, EEM, AGG, GLD at minute resolution. Window: 2022-01-01 to 2024-12-31. Capital: 100,000. Signal: 60-period rate of change on daily bars per asset, automatic warm-up. Schedule: first trading day of each month, one minute after the open, via a scheduled event. Rules: rank by ROC, hold the top 3 at one third each using portfolio targets with liquidate_existing_holdings, liquidate the rest; if all five ROC values are negative, liquidate everything and hold cash. Compliance: equal weights only, no leverage, long-only, snake_case API per style guide, type annotations.</t>
        </is>
      </c>
      <c r="F41" s="34" t="n"/>
      <c r="G41" s="34" t="n"/>
      <c r="H41" s="34" t="n"/>
      <c r="I41" s="34" t="n"/>
      <c r="J41" s="34" t="n"/>
      <c r="K41" s="34" t="n"/>
      <c r="L41" s="34" t="n"/>
      <c r="M41" s="34" t="n"/>
      <c r="N41" s="34" t="n"/>
      <c r="O41" s="36" t="n"/>
      <c r="P41" s="36" t="n"/>
      <c r="Q41" s="35" t="n"/>
    </row>
    <row r="42" ht="124.6" customHeight="1" s="23">
      <c r="A42" s="37" t="inlineStr">
        <is>
          <t>equity-monthly-roc-rotation/main.py</t>
        </is>
      </c>
      <c r="B42" s="37" t="n">
        <v>10</v>
      </c>
      <c r="C42" s="37" t="inlineStr">
        <is>
          <t>reference</t>
        </is>
      </c>
      <c r="D42" s="37" t="inlineStr">
        <is>
          <t>ceiling</t>
        </is>
      </c>
      <c r="E42" s="35" t="inlineStr">
        <is>
          <t>QuantConnect Python, snake_case. initialize: set_start_date(2022, 1, 1), set_end_date(2024, 12, 31), set_cash(100000), settings.automatic_indicator_warm_up = True; for ticker in SPY, EFA, EEM, AGG, GLD: equity = add_equity(ticker, Resolution.MINUTE), equity.roc = self.roc(equity, 60, Resolution.DAILY); schedule.on(date_rules.month_start('SPY'), time_rules.after_market_open('SPY', 1), self._rebalance). _rebalance: securities = the five; if all(s.roc.current.value &lt; 0): liquidate(); return; top = sorted(securities, key=lambda s: s.roc.current.value, reverse=True)[:3]; set_holdings([PortfolioTarget(s.symbol, 1/3) for s in top], liquidate_existing_holdings=True).</t>
        </is>
      </c>
      <c r="F42" s="34" t="n"/>
      <c r="G42" s="34" t="n"/>
      <c r="H42" s="34" t="n"/>
      <c r="I42" s="34" t="n"/>
      <c r="J42" s="34" t="n"/>
      <c r="K42" s="34" t="n"/>
      <c r="L42" s="34" t="n"/>
      <c r="M42" s="34" t="n"/>
      <c r="N42" s="34" t="n"/>
      <c r="O42" s="36" t="n"/>
      <c r="P42" s="36" t="n"/>
      <c r="Q42" s="35" t="n"/>
    </row>
    <row r="43" ht="23.85" customHeight="1" s="23">
      <c r="A43" s="34" t="inlineStr">
        <is>
          <t>equity-sixty-forty-portfolio/main.py</t>
        </is>
      </c>
      <c r="B43" s="34" t="n">
        <v>1</v>
      </c>
      <c r="C43" s="34" t="inlineStr">
        <is>
          <t>individual</t>
        </is>
      </c>
      <c r="D43" s="34" t="inlineStr">
        <is>
          <t>vague</t>
        </is>
      </c>
      <c r="E43" s="35" t="inlineStr">
        <is>
          <t>Set me up a classic 60/40 with SPY and TLT that rebalances every few months, but only if it's drifted a decent amount. 2022 to 2024.</t>
        </is>
      </c>
      <c r="F43" s="34" t="n"/>
      <c r="G43" s="34" t="n"/>
      <c r="H43" s="34" t="n"/>
      <c r="I43" s="34" t="n"/>
      <c r="J43" s="34" t="n"/>
      <c r="K43" s="34" t="n"/>
      <c r="L43" s="34" t="n"/>
      <c r="M43" s="34" t="n"/>
      <c r="N43" s="34" t="n"/>
      <c r="O43" s="36" t="n"/>
      <c r="P43" s="36" t="n"/>
      <c r="Q43" s="35" t="n"/>
    </row>
    <row r="44" ht="46.25" customHeight="1" s="23">
      <c r="A44" s="34" t="inlineStr">
        <is>
          <t>equity-sixty-forty-portfolio/main.py</t>
        </is>
      </c>
      <c r="B44" s="34" t="n">
        <v>2</v>
      </c>
      <c r="C44" s="34" t="inlineStr">
        <is>
          <t>individual</t>
        </is>
      </c>
      <c r="D44" s="34" t="inlineStr">
        <is>
          <t>precise</t>
        </is>
      </c>
      <c r="E44" s="35" t="inlineStr">
        <is>
          <t>60% SPY, 40% TLT. Buy on the first bar. At the start of every quarter check the weights and if either is more than 5 percentage points off, rebalance back to 60/40, otherwise leave it. Minute data, Jan 1 2022 to Dec 31 2024, 100k.</t>
        </is>
      </c>
      <c r="F44" s="34" t="n"/>
      <c r="G44" s="34" t="n"/>
      <c r="H44" s="34" t="n"/>
      <c r="I44" s="34" t="n"/>
      <c r="J44" s="34" t="n"/>
      <c r="K44" s="34" t="n"/>
      <c r="L44" s="34" t="n"/>
      <c r="M44" s="34" t="n"/>
      <c r="N44" s="34" t="n"/>
      <c r="O44" s="36" t="n"/>
      <c r="P44" s="36" t="n"/>
      <c r="Q44" s="35" t="n"/>
    </row>
    <row r="45" ht="68.65000000000001" customHeight="1" s="23">
      <c r="A45" s="34" t="inlineStr">
        <is>
          <t>equity-sixty-forty-portfolio/main.py</t>
        </is>
      </c>
      <c r="B45" s="34" t="n">
        <v>3</v>
      </c>
      <c r="C45" s="34" t="inlineStr">
        <is>
          <t>individual</t>
        </is>
      </c>
      <c r="D45" s="34" t="inlineStr">
        <is>
          <t>over_specified</t>
        </is>
      </c>
      <c r="E45" s="35" t="inlineStr">
        <is>
          <t>60% SPY, 40% TLT. Buy on the first bar. At the start of every quarter, a minute after the open, check the weights and if either is more than 5 percentage points off, rebalance back to 60/40, otherwise leave it. Minute data, Jan 1 2022 to Dec 31 2024, 100k. Call the class SixtyForty, make the 5% a named constant, and log a line whenever a rebalance is skipped.</t>
        </is>
      </c>
      <c r="F45" s="34" t="n"/>
      <c r="G45" s="34" t="n"/>
      <c r="H45" s="34" t="n"/>
      <c r="I45" s="34" t="n"/>
      <c r="J45" s="34" t="n"/>
      <c r="K45" s="34" t="n"/>
      <c r="L45" s="34" t="n"/>
      <c r="M45" s="34" t="n"/>
      <c r="N45" s="34" t="n"/>
      <c r="O45" s="36" t="n"/>
      <c r="P45" s="36" t="n"/>
      <c r="Q45" s="35" t="n"/>
    </row>
    <row r="46" ht="15" customHeight="1" s="23">
      <c r="A46" s="34" t="inlineStr">
        <is>
          <t>equity-sixty-forty-portfolio/main.py</t>
        </is>
      </c>
      <c r="B46" s="34" t="n">
        <v>4</v>
      </c>
      <c r="C46" s="34" t="inlineStr">
        <is>
          <t>startup</t>
        </is>
      </c>
      <c r="D46" s="34" t="inlineStr">
        <is>
          <t>vague</t>
        </is>
      </c>
      <c r="E46" s="35" t="inlineStr">
        <is>
          <t>60/40 SPY/TLT, quarterly rebal, 5% drift band. 2022-2024.</t>
        </is>
      </c>
      <c r="F46" s="34" t="n"/>
      <c r="G46" s="34" t="n"/>
      <c r="H46" s="34" t="n"/>
      <c r="I46" s="34" t="n"/>
      <c r="J46" s="34" t="n"/>
      <c r="K46" s="34" t="n"/>
      <c r="L46" s="34" t="n"/>
      <c r="M46" s="34" t="n"/>
      <c r="N46" s="34" t="n"/>
      <c r="O46" s="36" t="n"/>
      <c r="P46" s="36" t="n"/>
      <c r="Q46" s="35" t="n"/>
    </row>
    <row r="47" ht="23.85" customHeight="1" s="23">
      <c r="A47" s="34" t="inlineStr">
        <is>
          <t>equity-sixty-forty-portfolio/main.py</t>
        </is>
      </c>
      <c r="B47" s="34" t="n">
        <v>5</v>
      </c>
      <c r="C47" s="34" t="inlineStr">
        <is>
          <t>startup</t>
        </is>
      </c>
      <c r="D47" s="34" t="inlineStr">
        <is>
          <t>precise</t>
        </is>
      </c>
      <c r="E47" s="35" t="inlineStr">
        <is>
          <t>SPY 0.6 / TLT 0.4, minute. Allocate bar 1. Quarter start +1m: rebalance only if any |weight - target| &gt; 0.05. 2022-01-01 to 2024-12-31, 100k.</t>
        </is>
      </c>
      <c r="F47" s="34" t="n"/>
      <c r="G47" s="34" t="n"/>
      <c r="H47" s="34" t="n"/>
      <c r="I47" s="34" t="n"/>
      <c r="J47" s="34" t="n"/>
      <c r="K47" s="34" t="n"/>
      <c r="L47" s="34" t="n"/>
      <c r="M47" s="34" t="n"/>
      <c r="N47" s="34" t="n"/>
      <c r="O47" s="36" t="n"/>
      <c r="P47" s="36" t="n"/>
      <c r="Q47" s="35" t="n"/>
    </row>
    <row r="48" ht="57.45" customHeight="1" s="23">
      <c r="A48" s="34" t="inlineStr">
        <is>
          <t>equity-sixty-forty-portfolio/main.py</t>
        </is>
      </c>
      <c r="B48" s="34" t="n">
        <v>6</v>
      </c>
      <c r="C48" s="34" t="inlineStr">
        <is>
          <t>startup</t>
        </is>
      </c>
      <c r="D48" s="34" t="inlineStr">
        <is>
          <t>over_specified</t>
        </is>
      </c>
      <c r="E48" s="35" t="inlineStr">
        <is>
          <t>SPY 0.6 / TLT 0.4, minute. Allocate bar 1. Quarter start +1m after open via schedule: compute weights from holdings_value / total_portfolio_value, rebalance with PortfolioTargets only if any |weight - target| &gt; 0.05. 2022-01-01 to 2024-12-31, 100k. _drift_threshold as class attr, snake_case, no magic numbers.</t>
        </is>
      </c>
      <c r="F48" s="34" t="n"/>
      <c r="G48" s="34" t="n"/>
      <c r="H48" s="34" t="n"/>
      <c r="I48" s="34" t="n"/>
      <c r="J48" s="34" t="n"/>
      <c r="K48" s="34" t="n"/>
      <c r="L48" s="34" t="n"/>
      <c r="M48" s="34" t="n"/>
      <c r="N48" s="34" t="n"/>
      <c r="O48" s="36" t="n"/>
      <c r="P48" s="36" t="n"/>
      <c r="Q48" s="35" t="n"/>
    </row>
    <row r="49" ht="46.25" customHeight="1" s="23">
      <c r="A49" s="34" t="inlineStr">
        <is>
          <t>equity-sixty-forty-portfolio/main.py</t>
        </is>
      </c>
      <c r="B49" s="34" t="n">
        <v>7</v>
      </c>
      <c r="C49" s="34" t="inlineStr">
        <is>
          <t>institutional</t>
        </is>
      </c>
      <c r="D49" s="34" t="inlineStr">
        <is>
          <t>vague</t>
        </is>
      </c>
      <c r="E49" s="35" t="inlineStr">
        <is>
          <t>We need a 60/40 SPY/TLT benchmark portfolio for 2022 through 2024 with quarterly rebalancing and a drift tolerance so small deviations do not generate trades, consistent with our internal implementation. Standard paper account.</t>
        </is>
      </c>
      <c r="F49" s="34" t="n"/>
      <c r="G49" s="34" t="n"/>
      <c r="H49" s="34" t="n"/>
      <c r="I49" s="34" t="n"/>
      <c r="J49" s="34" t="n"/>
      <c r="K49" s="34" t="n"/>
      <c r="L49" s="34" t="n"/>
      <c r="M49" s="34" t="n"/>
      <c r="N49" s="34" t="n"/>
      <c r="O49" s="36" t="n"/>
      <c r="P49" s="36" t="n"/>
      <c r="Q49" s="35" t="n"/>
    </row>
    <row r="50" ht="57.45" customHeight="1" s="23">
      <c r="A50" s="34" t="inlineStr">
        <is>
          <t>equity-sixty-forty-portfolio/main.py</t>
        </is>
      </c>
      <c r="B50" s="34" t="n">
        <v>8</v>
      </c>
      <c r="C50" s="34" t="inlineStr">
        <is>
          <t>institutional</t>
        </is>
      </c>
      <c r="D50" s="34" t="inlineStr">
        <is>
          <t>precise</t>
        </is>
      </c>
      <c r="E50" s="35" t="inlineStr">
        <is>
          <t>Implement the desk's 60/40 reference. Assets: SPY at 60%, TLT at 40%. Resolution: minute. Window: 2022-01-01 to 2024-12-31. Capital: 100,000. Initial allocation on the first bar. Rebalance: first trading day of each quarter, one minute after the open; skip if every weight is within 5 percentage points of target, otherwise reset to target weights.</t>
        </is>
      </c>
      <c r="F50" s="34" t="n"/>
      <c r="G50" s="34" t="n"/>
      <c r="H50" s="34" t="n"/>
      <c r="I50" s="34" t="n"/>
      <c r="J50" s="34" t="n"/>
      <c r="K50" s="34" t="n"/>
      <c r="L50" s="34" t="n"/>
      <c r="M50" s="34" t="n"/>
      <c r="N50" s="34" t="n"/>
      <c r="O50" s="36" t="n"/>
      <c r="P50" s="36" t="n"/>
      <c r="Q50" s="35" t="n"/>
    </row>
    <row r="51" ht="102.2" customHeight="1" s="23">
      <c r="A51" s="34" t="inlineStr">
        <is>
          <t>equity-sixty-forty-portfolio/main.py</t>
        </is>
      </c>
      <c r="B51" s="34" t="n">
        <v>9</v>
      </c>
      <c r="C51" s="34" t="inlineStr">
        <is>
          <t>institutional</t>
        </is>
      </c>
      <c r="D51" s="34" t="inlineStr">
        <is>
          <t>over_specified</t>
        </is>
      </c>
      <c r="E51" s="35" t="inlineStr">
        <is>
          <t>Implement the desk's 60/40 reference. Assets: SPY at 60%, TLT at 40%. Resolution: minute. Window: 2022-01-01 to 2024-12-31. Capital: 100,000. Initial allocation on the first bar. Rebalance: first trading day of each quarter, one minute after the open, via a scheduled event; compute each weight as holdings value over total portfolio value; skip if every weight is within 5 percentage points of target, otherwise reset to target weights with portfolio targets. Compliance: drift threshold as a named class attribute for audit, no leverage, long-only, snake_case API per style guide, type annotations.</t>
        </is>
      </c>
      <c r="F51" s="34" t="n"/>
      <c r="G51" s="34" t="n"/>
      <c r="H51" s="34" t="n"/>
      <c r="I51" s="34" t="n"/>
      <c r="J51" s="34" t="n"/>
      <c r="K51" s="34" t="n"/>
      <c r="L51" s="34" t="n"/>
      <c r="M51" s="34" t="n"/>
      <c r="N51" s="34" t="n"/>
      <c r="O51" s="36" t="n"/>
      <c r="P51" s="36" t="n"/>
      <c r="Q51" s="35" t="n"/>
    </row>
    <row r="52" ht="113.4" customHeight="1" s="23">
      <c r="A52" s="34" t="inlineStr">
        <is>
          <t>equity-sixty-forty-portfolio/main.py</t>
        </is>
      </c>
      <c r="B52" s="34" t="n">
        <v>10</v>
      </c>
      <c r="C52" s="34" t="inlineStr">
        <is>
          <t>reference</t>
        </is>
      </c>
      <c r="D52" s="34" t="inlineStr">
        <is>
          <t>ceiling</t>
        </is>
      </c>
      <c r="E52" s="35" t="inlineStr">
        <is>
          <t>QuantConnect Python, snake_case. Class attribute _drift_threshold = 0.05. initialize: set_start_date(2022, 1, 1), set_end_date(2024, 12, 31), set_cash(100000), spy = add_equity('SPY', Resolution.MINUTE).symbol, tlt = add_equity('TLT', Resolution.MINUTE).symbol, targets {spy: 0.6, tlt: 0.4}, schedule.on(date_rules.quarter_start('SPY'), time_rules.after_market_open('SPY', 1), self._rebalance). on_data: if not portfolio.invested, set_holdings to targets once. _rebalance: weights = portfolio[s].holdings_value / portfolio.total_portfolio_value; if all abs(weight - target) &lt;= 0.05 return; set_holdings([PortfolioTarget(spy, 0.6), PortfolioTarget(tlt, 0.4)]).</t>
        </is>
      </c>
      <c r="F52" s="34" t="n"/>
      <c r="G52" s="34" t="n"/>
      <c r="H52" s="34" t="n"/>
      <c r="I52" s="34" t="n"/>
      <c r="J52" s="34" t="n"/>
      <c r="K52" s="34" t="n"/>
      <c r="L52" s="34" t="n"/>
      <c r="M52" s="34" t="n"/>
      <c r="N52" s="34" t="n"/>
      <c r="O52" s="36" t="n"/>
      <c r="P52" s="36" t="n"/>
      <c r="Q52" s="35" t="n"/>
    </row>
    <row r="53" ht="35.05" customHeight="1" s="23">
      <c r="A53" s="37" t="inlineStr">
        <is>
          <t>equity-momentum-cross-sectional-decile/main.py</t>
        </is>
      </c>
      <c r="B53" s="37" t="n">
        <v>1</v>
      </c>
      <c r="C53" s="37" t="inlineStr">
        <is>
          <t>individual</t>
        </is>
      </c>
      <c r="D53" s="37" t="inlineStr">
        <is>
          <t>vague</t>
        </is>
      </c>
      <c r="E53" s="35" t="inlineStr">
        <is>
          <t>I want a bot that buys the S&amp;P 500 stocks with the best momentum over the past year and swaps them out every month. Maybe the top 10 or so, equal amounts. 2022 to 2024.</t>
        </is>
      </c>
      <c r="F53" s="34" t="n"/>
      <c r="G53" s="34" t="n"/>
      <c r="H53" s="34" t="n"/>
      <c r="I53" s="34" t="n"/>
      <c r="J53" s="34" t="n"/>
      <c r="K53" s="34" t="n"/>
      <c r="L53" s="34" t="n"/>
      <c r="M53" s="34" t="n"/>
      <c r="N53" s="34" t="n"/>
      <c r="O53" s="36" t="n"/>
      <c r="P53" s="36" t="n"/>
      <c r="Q53" s="35" t="n"/>
    </row>
    <row r="54" ht="57.45" customHeight="1" s="23">
      <c r="A54" s="37" t="inlineStr">
        <is>
          <t>equity-momentum-cross-sectional-decile/main.py</t>
        </is>
      </c>
      <c r="B54" s="37" t="n">
        <v>2</v>
      </c>
      <c r="C54" s="37" t="inlineStr">
        <is>
          <t>individual</t>
        </is>
      </c>
      <c r="D54" s="37" t="inlineStr">
        <is>
          <t>precise</t>
        </is>
      </c>
      <c r="E54" s="35" t="inlineStr">
        <is>
          <t>Use the stocks in the SPY ETF as my universe. Keep the 100 with the highest dollar volume. For each one measure the percent price change over the last 252 trading days using daily adjusted prices. At the start of each month hold the top 10% by that number in equal weights and sell anything no longer selected. Jan 1 2022 to Dec 31 2024, 250k.</t>
        </is>
      </c>
      <c r="F54" s="34" t="n"/>
      <c r="G54" s="34" t="n"/>
      <c r="H54" s="34" t="n"/>
      <c r="I54" s="34" t="n"/>
      <c r="J54" s="34" t="n"/>
      <c r="K54" s="34" t="n"/>
      <c r="L54" s="34" t="n"/>
      <c r="M54" s="34" t="n"/>
      <c r="N54" s="34" t="n"/>
      <c r="O54" s="36" t="n"/>
      <c r="P54" s="36" t="n"/>
      <c r="Q54" s="35" t="n"/>
    </row>
    <row r="55" ht="79.84999999999999" customHeight="1" s="23">
      <c r="A55" s="37" t="inlineStr">
        <is>
          <t>equity-momentum-cross-sectional-decile/main.py</t>
        </is>
      </c>
      <c r="B55" s="37" t="n">
        <v>3</v>
      </c>
      <c r="C55" s="37" t="inlineStr">
        <is>
          <t>individual</t>
        </is>
      </c>
      <c r="D55" s="37" t="inlineStr">
        <is>
          <t>over_specified</t>
        </is>
      </c>
      <c r="E55" s="35" t="inlineStr">
        <is>
          <t>Use the stocks in the SPY ETF as my universe. Keep the 100 with the highest dollar volume. For each one measure the percent price change over the last 252 trading days using daily adjusted prices. At the start of each month at 9:31 hold the top 10% by that number in equal weights and sell anything no longer selected. Jan 1 2022 to Dec 31 2024, 250k. Call the class Sp500Momentum, make the 252, 100 and 10% named variables, and add a comment explaining why we warm up for 253 days.</t>
        </is>
      </c>
      <c r="F55" s="34" t="n"/>
      <c r="G55" s="34" t="n"/>
      <c r="H55" s="34" t="n"/>
      <c r="I55" s="34" t="n"/>
      <c r="J55" s="34" t="n"/>
      <c r="K55" s="34" t="n"/>
      <c r="L55" s="34" t="n"/>
      <c r="M55" s="34" t="n"/>
      <c r="N55" s="34" t="n"/>
      <c r="O55" s="36" t="n"/>
      <c r="P55" s="36" t="n"/>
      <c r="Q55" s="35" t="n"/>
    </row>
    <row r="56" ht="23.85" customHeight="1" s="23">
      <c r="A56" s="37" t="inlineStr">
        <is>
          <t>equity-momentum-cross-sectional-decile/main.py</t>
        </is>
      </c>
      <c r="B56" s="37" t="n">
        <v>4</v>
      </c>
      <c r="C56" s="37" t="inlineStr">
        <is>
          <t>startup</t>
        </is>
      </c>
      <c r="D56" s="37" t="inlineStr">
        <is>
          <t>vague</t>
        </is>
      </c>
      <c r="E56" s="35" t="inlineStr">
        <is>
          <t>SPY constituents, top 100 by $vol, 12m momentum, top decile EW, monthly. 2022-2024, 250k.</t>
        </is>
      </c>
      <c r="F56" s="34" t="n"/>
      <c r="G56" s="34" t="n"/>
      <c r="H56" s="34" t="n"/>
      <c r="I56" s="34" t="n"/>
      <c r="J56" s="34" t="n"/>
      <c r="K56" s="34" t="n"/>
      <c r="L56" s="34" t="n"/>
      <c r="M56" s="34" t="n"/>
      <c r="N56" s="34" t="n"/>
      <c r="O56" s="36" t="n"/>
      <c r="P56" s="36" t="n"/>
      <c r="Q56" s="35" t="n"/>
    </row>
    <row r="57" ht="46.25" customHeight="1" s="23">
      <c r="A57" s="37" t="inlineStr">
        <is>
          <t>equity-momentum-cross-sectional-decile/main.py</t>
        </is>
      </c>
      <c r="B57" s="37" t="n">
        <v>5</v>
      </c>
      <c r="C57" s="37" t="inlineStr">
        <is>
          <t>startup</t>
        </is>
      </c>
      <c r="D57" s="37" t="inlineStr">
        <is>
          <t>precise</t>
        </is>
      </c>
      <c r="E57" s="35" t="inlineStr">
        <is>
          <t>Universe = SPY ETF constituents capped to top 100 by dollar_volume. MomentumPercent(252) per name from adjusted price. Monthly at 09:31: top decile equal weight, liquidate rest. 2022-01-01 to 2024-12-31, 250k. Warm up 253 daily.</t>
        </is>
      </c>
      <c r="F57" s="34" t="n"/>
      <c r="G57" s="34" t="n"/>
      <c r="H57" s="34" t="n"/>
      <c r="I57" s="34" t="n"/>
      <c r="J57" s="34" t="n"/>
      <c r="K57" s="34" t="n"/>
      <c r="L57" s="34" t="n"/>
      <c r="M57" s="34" t="n"/>
      <c r="N57" s="34" t="n"/>
      <c r="O57" s="36" t="n"/>
      <c r="P57" s="36" t="n"/>
      <c r="Q57" s="35" t="n"/>
    </row>
    <row r="58" ht="79.84999999999999" customHeight="1" s="23">
      <c r="A58" s="37" t="inlineStr">
        <is>
          <t>equity-momentum-cross-sectional-decile/main.py</t>
        </is>
      </c>
      <c r="B58" s="37" t="n">
        <v>6</v>
      </c>
      <c r="C58" s="37" t="inlineStr">
        <is>
          <t>startup</t>
        </is>
      </c>
      <c r="D58" s="37" t="inlineStr">
        <is>
          <t>over_specified</t>
        </is>
      </c>
      <c r="E58" s="35" t="inlineStr">
        <is>
          <t>Universe = SPY ETF constituents capped to top 100 by dollar_volume, minute universe res. MomentumPercent(252) per name updated from fundamental adjusted_price. Return unchanged universe while warming up. Monthly at 09:31: top decile (min 1) equal weight via PortfolioTargets, liquidate_existing_holdings. 2022-01-01 to 2024-12-31, 250k. set_warm_up(253, daily), seed initial prices, min order margin pct = 0, snake_case.</t>
        </is>
      </c>
      <c r="F58" s="34" t="n"/>
      <c r="G58" s="34" t="n"/>
      <c r="H58" s="34" t="n"/>
      <c r="I58" s="34" t="n"/>
      <c r="J58" s="34" t="n"/>
      <c r="K58" s="34" t="n"/>
      <c r="L58" s="34" t="n"/>
      <c r="M58" s="34" t="n"/>
      <c r="N58" s="34" t="n"/>
      <c r="O58" s="36" t="n"/>
      <c r="P58" s="36" t="n"/>
      <c r="Q58" s="35" t="n"/>
    </row>
    <row r="59" ht="46.25" customHeight="1" s="23">
      <c r="A59" s="37" t="inlineStr">
        <is>
          <t>equity-momentum-cross-sectional-decile/main.py</t>
        </is>
      </c>
      <c r="B59" s="37" t="n">
        <v>7</v>
      </c>
      <c r="C59" s="37" t="inlineStr">
        <is>
          <t>institutional</t>
        </is>
      </c>
      <c r="D59" s="37" t="inlineStr">
        <is>
          <t>vague</t>
        </is>
      </c>
      <c r="E59" s="35" t="inlineStr">
        <is>
          <t>We need a long-only cross-sectional momentum factor reference on large-cap US equities for 2022 through 2024, consistent with our internal implementation: liquid S&amp;P 500 names, top decile by trailing-year momentum, monthly rebalance. Standard paper account.</t>
        </is>
      </c>
      <c r="F59" s="34" t="n"/>
      <c r="G59" s="34" t="n"/>
      <c r="H59" s="34" t="n"/>
      <c r="I59" s="34" t="n"/>
      <c r="J59" s="34" t="n"/>
      <c r="K59" s="34" t="n"/>
      <c r="L59" s="34" t="n"/>
      <c r="M59" s="34" t="n"/>
      <c r="N59" s="34" t="n"/>
      <c r="O59" s="36" t="n"/>
      <c r="P59" s="36" t="n"/>
      <c r="Q59" s="35" t="n"/>
    </row>
    <row r="60" ht="79.84999999999999" customHeight="1" s="23">
      <c r="A60" s="37" t="inlineStr">
        <is>
          <t>equity-momentum-cross-sectional-decile/main.py</t>
        </is>
      </c>
      <c r="B60" s="37" t="n">
        <v>8</v>
      </c>
      <c r="C60" s="37" t="inlineStr">
        <is>
          <t>institutional</t>
        </is>
      </c>
      <c r="D60" s="37" t="inlineStr">
        <is>
          <t>precise</t>
        </is>
      </c>
      <c r="E60" s="35" t="inlineStr">
        <is>
          <t>Implement the desk's cross-sectional momentum reference. Universe: constituents of the SPY ETF, capped at the 100 highest by dollar volume. Window: 2022-01-01 to 2024-12-31. Capital: 250,000. Signal: 252-period momentum percent per symbol computed from daily adjusted prices. Rebalance: first trading day of each month at 09:31; hold the top 10% of the capped universe equal-weight and liquidate the rest. Warm up 253 daily bars before selecting.</t>
        </is>
      </c>
      <c r="F60" s="34" t="n"/>
      <c r="G60" s="34" t="n"/>
      <c r="H60" s="34" t="n"/>
      <c r="I60" s="34" t="n"/>
      <c r="J60" s="34" t="n"/>
      <c r="K60" s="34" t="n"/>
      <c r="L60" s="34" t="n"/>
      <c r="M60" s="34" t="n"/>
      <c r="N60" s="34" t="n"/>
      <c r="O60" s="36" t="n"/>
      <c r="P60" s="36" t="n"/>
      <c r="Q60" s="35" t="n"/>
    </row>
    <row r="61" ht="124.6" customHeight="1" s="23">
      <c r="A61" s="37" t="inlineStr">
        <is>
          <t>equity-momentum-cross-sectional-decile/main.py</t>
        </is>
      </c>
      <c r="B61" s="37" t="n">
        <v>9</v>
      </c>
      <c r="C61" s="37" t="inlineStr">
        <is>
          <t>institutional</t>
        </is>
      </c>
      <c r="D61" s="37" t="inlineStr">
        <is>
          <t>over_specified</t>
        </is>
      </c>
      <c r="E61" s="35" t="inlineStr">
        <is>
          <t>Implement the desk's cross-sectional momentum reference. Universe: constituents of the SPY ETF, capped at the 100 highest by dollar volume, universe resolution minute. Window: 2022-01-01 to 2024-12-31. Capital: 250,000. Signal: 252-period momentum percent per symbol computed from daily adjusted prices. Rebalance: first trading day of each month at 09:31 via a scheduled event; hold the top 10% of the capped universe equal-weight with portfolio targets and liquidate the rest. Warm up 253 daily bars and return the universe unchanged while warming up. Compliance: seed initial prices, set minimum order margin portfolio percentage to zero, equal weights only, long-only, no leverage, snake_case API per style guide, type annotations.</t>
        </is>
      </c>
      <c r="F61" s="34" t="n"/>
      <c r="G61" s="34" t="n"/>
      <c r="H61" s="34" t="n"/>
      <c r="I61" s="34" t="n"/>
      <c r="J61" s="34" t="n"/>
      <c r="K61" s="34" t="n"/>
      <c r="L61" s="34" t="n"/>
      <c r="M61" s="34" t="n"/>
      <c r="N61" s="34" t="n"/>
      <c r="O61" s="36" t="n"/>
      <c r="P61" s="36" t="n"/>
      <c r="Q61" s="35" t="n"/>
    </row>
    <row r="62" ht="169.4" customHeight="1" s="23">
      <c r="A62" s="37" t="inlineStr">
        <is>
          <t>equity-momentum-cross-sectional-decile/main.py</t>
        </is>
      </c>
      <c r="B62" s="37" t="n">
        <v>10</v>
      </c>
      <c r="C62" s="37" t="inlineStr">
        <is>
          <t>reference</t>
        </is>
      </c>
      <c r="D62" s="37" t="inlineStr">
        <is>
          <t>ceiling</t>
        </is>
      </c>
      <c r="E62" s="35" t="inlineStr">
        <is>
          <t>QuantConnect Python, snake_case. initialize: dates 2022-01-01 to 2024-12-31, set_cash(250_000), settings.seed_initial_prices = True, settings.minimum_order_margin_portfolio_percentage = 0, _lookback = 252, _universe_cap = 100, _top_decile_pct = 0.1, dict of MomentumPercent per symbol, universe_settings.resolution = Resolution.MINUTE, _universe = add_universe(self.universe.etf('SPY'), self._select_assets), set_warm_up(253, Resolution.DAILY), schedule.on(date_rules.month_start('SPY'), time_rules.at(9, 31), self._rebalance). _select_assets: update each symbol's MomentumPercent with (f.end_time, f.adjusted_price); return Universe.UNCHANGED while warming up; sort ready by dollar_volume desc, cap 100; rank by momentum desc; return top max(1, int(n * 0.1)) symbols. _rebalance: selected = list(_universe.selected); set_holdings([PortfolioTarget(s, 1/len) ...], liquidate_existing_holdings=True).</t>
        </is>
      </c>
      <c r="F62" s="34" t="n"/>
      <c r="G62" s="34" t="n"/>
      <c r="H62" s="34" t="n"/>
      <c r="I62" s="34" t="n"/>
      <c r="J62" s="34" t="n"/>
      <c r="K62" s="34" t="n"/>
      <c r="L62" s="34" t="n"/>
      <c r="M62" s="34" t="n"/>
      <c r="N62" s="34" t="n"/>
      <c r="O62" s="36" t="n"/>
      <c r="P62" s="36" t="n"/>
      <c r="Q62" s="35" t="n"/>
    </row>
    <row r="63" ht="46.25" customHeight="1" s="23">
      <c r="A63" s="34" t="inlineStr">
        <is>
          <t>equity-opening-range-breakout/main.py</t>
        </is>
      </c>
      <c r="B63" s="34" t="n">
        <v>1</v>
      </c>
      <c r="C63" s="34" t="inlineStr">
        <is>
          <t>individual</t>
        </is>
      </c>
      <c r="D63" s="34" t="inlineStr">
        <is>
          <t>vague</t>
        </is>
      </c>
      <c r="E63" s="35" t="inlineStr">
        <is>
          <t>Make me a day trading bot for SPY that trades the morning breakout. Watch the first bit of the day, then go long if it breaks above or short if it breaks below, and close out before the end of the day. Last few months of 2024.</t>
        </is>
      </c>
      <c r="F63" s="34" t="n"/>
      <c r="G63" s="34" t="n"/>
      <c r="H63" s="34" t="n"/>
      <c r="I63" s="34" t="n"/>
      <c r="J63" s="34" t="n"/>
      <c r="K63" s="34" t="n"/>
      <c r="L63" s="34" t="n"/>
      <c r="M63" s="34" t="n"/>
      <c r="N63" s="34" t="n"/>
      <c r="O63" s="36" t="n"/>
      <c r="P63" s="36" t="n"/>
      <c r="Q63" s="35" t="n"/>
    </row>
    <row r="64" ht="46.25" customHeight="1" s="23">
      <c r="A64" s="34" t="inlineStr">
        <is>
          <t>equity-opening-range-breakout/main.py</t>
        </is>
      </c>
      <c r="B64" s="34" t="n">
        <v>2</v>
      </c>
      <c r="C64" s="34" t="inlineStr">
        <is>
          <t>individual</t>
        </is>
      </c>
      <c r="D64" s="34" t="inlineStr">
        <is>
          <t>precise</t>
        </is>
      </c>
      <c r="E64" s="35" t="inlineStr">
        <is>
          <t>SPY on minute bars. Track the high and low from 9:30 to 10:00. After 10:00, if a bar closes above that high buy with everything, if it closes below that low short with everything. Only one trade per day. Close everything at 3:55 and reset. Sept 1 to Dec 31 2024, 100k.</t>
        </is>
      </c>
      <c r="F64" s="34" t="n"/>
      <c r="G64" s="34" t="n"/>
      <c r="H64" s="34" t="n"/>
      <c r="I64" s="34" t="n"/>
      <c r="J64" s="34" t="n"/>
      <c r="K64" s="34" t="n"/>
      <c r="L64" s="34" t="n"/>
      <c r="M64" s="34" t="n"/>
      <c r="N64" s="34" t="n"/>
      <c r="O64" s="36" t="n"/>
      <c r="P64" s="36" t="n"/>
      <c r="Q64" s="35" t="n"/>
    </row>
    <row r="65" ht="79.84999999999999" customHeight="1" s="23">
      <c r="A65" s="34" t="inlineStr">
        <is>
          <t>equity-opening-range-breakout/main.py</t>
        </is>
      </c>
      <c r="B65" s="34" t="n">
        <v>3</v>
      </c>
      <c r="C65" s="34" t="inlineStr">
        <is>
          <t>individual</t>
        </is>
      </c>
      <c r="D65" s="34" t="inlineStr">
        <is>
          <t>over_specified</t>
        </is>
      </c>
      <c r="E65" s="35" t="inlineStr">
        <is>
          <t>SPY on minute bars. Track the high and low from 9:30 to 10:00. After 10:00, if a bar closes above that high buy with everything, if it closes below that low short with everything. Only one trade per day. Close everything at 3:55 and reset. Sept 1 to Dec 31 2024, 100k. Plot the range high and low on a chart called ORB and the trade direction on a chart called Trades, call the class OpeningRangeBreakout, and seed the starting prices.</t>
        </is>
      </c>
      <c r="F65" s="34" t="n"/>
      <c r="G65" s="34" t="n"/>
      <c r="H65" s="34" t="n"/>
      <c r="I65" s="34" t="n"/>
      <c r="J65" s="34" t="n"/>
      <c r="K65" s="34" t="n"/>
      <c r="L65" s="34" t="n"/>
      <c r="M65" s="34" t="n"/>
      <c r="N65" s="34" t="n"/>
      <c r="O65" s="36" t="n"/>
      <c r="P65" s="36" t="n"/>
      <c r="Q65" s="35" t="n"/>
    </row>
    <row r="66" ht="15" customHeight="1" s="23">
      <c r="A66" s="34" t="inlineStr">
        <is>
          <t>equity-opening-range-breakout/main.py</t>
        </is>
      </c>
      <c r="B66" s="34" t="n">
        <v>4</v>
      </c>
      <c r="C66" s="34" t="inlineStr">
        <is>
          <t>startup</t>
        </is>
      </c>
      <c r="D66" s="34" t="inlineStr">
        <is>
          <t>vague</t>
        </is>
      </c>
      <c r="E66" s="35" t="inlineStr">
        <is>
          <t>SPY 30-min ORB, long/short break, 1 trade/day, flat 15:55. Q4 2024.</t>
        </is>
      </c>
      <c r="F66" s="34" t="n"/>
      <c r="G66" s="34" t="n"/>
      <c r="H66" s="34" t="n"/>
      <c r="I66" s="34" t="n"/>
      <c r="J66" s="34" t="n"/>
      <c r="K66" s="34" t="n"/>
      <c r="L66" s="34" t="n"/>
      <c r="M66" s="34" t="n"/>
      <c r="N66" s="34" t="n"/>
      <c r="O66" s="36" t="n"/>
      <c r="P66" s="36" t="n"/>
      <c r="Q66" s="35" t="n"/>
    </row>
    <row r="67" ht="46.25" customHeight="1" s="23">
      <c r="A67" s="34" t="inlineStr">
        <is>
          <t>equity-opening-range-breakout/main.py</t>
        </is>
      </c>
      <c r="B67" s="34" t="n">
        <v>5</v>
      </c>
      <c r="C67" s="34" t="inlineStr">
        <is>
          <t>startup</t>
        </is>
      </c>
      <c r="D67" s="34" t="inlineStr">
        <is>
          <t>precise</t>
        </is>
      </c>
      <c r="E67" s="35" t="inlineStr">
        <is>
          <t>SPY minute. Range = high/low of 09:30-10:00 bars. After 10:00: close &gt; range high -&gt; 100% long; close &lt; range low -&gt; 100% short; clear range after a trade (1/day). Liquidate 15:55, reset. 2024-09-01 to 2024-12-31, 100k.</t>
        </is>
      </c>
      <c r="F67" s="34" t="n"/>
      <c r="G67" s="34" t="n"/>
      <c r="H67" s="34" t="n"/>
      <c r="I67" s="34" t="n"/>
      <c r="J67" s="34" t="n"/>
      <c r="K67" s="34" t="n"/>
      <c r="L67" s="34" t="n"/>
      <c r="M67" s="34" t="n"/>
      <c r="N67" s="34" t="n"/>
      <c r="O67" s="36" t="n"/>
      <c r="P67" s="36" t="n"/>
      <c r="Q67" s="35" t="n"/>
    </row>
    <row r="68" ht="68.65000000000001" customHeight="1" s="23">
      <c r="A68" s="34" t="inlineStr">
        <is>
          <t>equity-opening-range-breakout/main.py</t>
        </is>
      </c>
      <c r="B68" s="34" t="n">
        <v>6</v>
      </c>
      <c r="C68" s="34" t="inlineStr">
        <is>
          <t>startup</t>
        </is>
      </c>
      <c r="D68" s="34" t="inlineStr">
        <is>
          <t>over_specified</t>
        </is>
      </c>
      <c r="E68" s="35" t="inlineStr">
        <is>
          <t>SPY minute. Range = high/low of bars with 09:30 &lt;= t &lt; 10:00. After 10:00: close &gt; range high -&gt; 100% long; close &lt; range low -&gt; 100% short; clear range after a trade (1/day). Scheduled liquidate at 15:55 every day, reset range there too. 2024-09-01 to 2024-12-31, 100k. Seed initial prices, plot range + direction, snake_case, keep range in two attrs, no consolidators.</t>
        </is>
      </c>
      <c r="F68" s="34" t="n"/>
      <c r="G68" s="34" t="n"/>
      <c r="H68" s="34" t="n"/>
      <c r="I68" s="34" t="n"/>
      <c r="J68" s="34" t="n"/>
      <c r="K68" s="34" t="n"/>
      <c r="L68" s="34" t="n"/>
      <c r="M68" s="34" t="n"/>
      <c r="N68" s="34" t="n"/>
      <c r="O68" s="36" t="n"/>
      <c r="P68" s="36" t="n"/>
      <c r="Q68" s="35" t="n"/>
    </row>
    <row r="69" ht="46.25" customHeight="1" s="23">
      <c r="A69" s="34" t="inlineStr">
        <is>
          <t>equity-opening-range-breakout/main.py</t>
        </is>
      </c>
      <c r="B69" s="34" t="n">
        <v>7</v>
      </c>
      <c r="C69" s="34" t="inlineStr">
        <is>
          <t>institutional</t>
        </is>
      </c>
      <c r="D69" s="34" t="inlineStr">
        <is>
          <t>vague</t>
        </is>
      </c>
      <c r="E69" s="35" t="inlineStr">
        <is>
          <t>We need an intraday opening-range breakout reference on SPY for the September to December 2024 window, consistent with our internal implementation: single trade per session, both directions, flat before the close. Standard paper account.</t>
        </is>
      </c>
      <c r="F69" s="34" t="n"/>
      <c r="G69" s="34" t="n"/>
      <c r="H69" s="34" t="n"/>
      <c r="I69" s="34" t="n"/>
      <c r="J69" s="34" t="n"/>
      <c r="K69" s="34" t="n"/>
      <c r="L69" s="34" t="n"/>
      <c r="M69" s="34" t="n"/>
      <c r="N69" s="34" t="n"/>
      <c r="O69" s="36" t="n"/>
      <c r="P69" s="36" t="n"/>
      <c r="Q69" s="35" t="n"/>
    </row>
    <row r="70" ht="68.65000000000001" customHeight="1" s="23">
      <c r="A70" s="34" t="inlineStr">
        <is>
          <t>equity-opening-range-breakout/main.py</t>
        </is>
      </c>
      <c r="B70" s="34" t="n">
        <v>8</v>
      </c>
      <c r="C70" s="34" t="inlineStr">
        <is>
          <t>institutional</t>
        </is>
      </c>
      <c r="D70" s="34" t="inlineStr">
        <is>
          <t>precise</t>
        </is>
      </c>
      <c r="E70" s="35" t="inlineStr">
        <is>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at most one entry per day. Exit: liquidate at 15:55 and reset the range daily.</t>
        </is>
      </c>
      <c r="F70" s="34" t="n"/>
      <c r="G70" s="34" t="n"/>
      <c r="H70" s="34" t="n"/>
      <c r="I70" s="34" t="n"/>
      <c r="J70" s="34" t="n"/>
      <c r="K70" s="34" t="n"/>
      <c r="L70" s="34" t="n"/>
      <c r="M70" s="34" t="n"/>
      <c r="N70" s="34" t="n"/>
      <c r="O70" s="36" t="n"/>
      <c r="P70" s="36" t="n"/>
      <c r="Q70" s="35" t="n"/>
    </row>
    <row r="71" ht="102.2" customHeight="1" s="23">
      <c r="A71" s="34" t="inlineStr">
        <is>
          <t>equity-opening-range-breakout/main.py</t>
        </is>
      </c>
      <c r="B71" s="34" t="n">
        <v>9</v>
      </c>
      <c r="C71" s="34" t="inlineStr">
        <is>
          <t>institutional</t>
        </is>
      </c>
      <c r="D71" s="34" t="inlineStr">
        <is>
          <t>over_specified</t>
        </is>
      </c>
      <c r="E71" s="35" t="inlineStr">
        <is>
          <t>Implement the desk's opening-range breakout reference on SPY. Resolution: minute. Window: 2024-09-01 to 2024-12-31. Capital: 100,000. Range: high and low of bars from 09:30 to 10:00. Entry after 10:00: a close above the range high allocates 100% long; a close below the range low allocates 100% short; clear the range after an entry so there is at most one per day. Exit: scheduled liquidation at 15:55 every trading day, then reset the range. Compliance: seed initial prices, plot the range bounds and trade direction for audit, no overnight positions, no leverage beyond 100% notional, snake_case API per style guide, type annotations.</t>
        </is>
      </c>
      <c r="F71" s="34" t="n"/>
      <c r="G71" s="34" t="n"/>
      <c r="H71" s="34" t="n"/>
      <c r="I71" s="34" t="n"/>
      <c r="J71" s="34" t="n"/>
      <c r="K71" s="34" t="n"/>
      <c r="L71" s="34" t="n"/>
      <c r="M71" s="34" t="n"/>
      <c r="N71" s="34" t="n"/>
      <c r="O71" s="36" t="n"/>
      <c r="P71" s="36" t="n"/>
      <c r="Q71" s="35" t="n"/>
    </row>
    <row r="72" ht="113.4" customHeight="1" s="23">
      <c r="A72" s="34" t="inlineStr">
        <is>
          <t>equity-opening-range-breakout/main.py</t>
        </is>
      </c>
      <c r="B72" s="34" t="n">
        <v>10</v>
      </c>
      <c r="C72" s="34" t="inlineStr">
        <is>
          <t>reference</t>
        </is>
      </c>
      <c r="D72" s="34" t="inlineStr">
        <is>
          <t>ceiling</t>
        </is>
      </c>
      <c r="E72" s="35" t="inlineStr">
        <is>
          <t>QuantConnect Python, snake_case. initialize: set_start_date(2024, 9, 1), set_end_date(2024, 12, 31), set_cash(100000), settings.seed_initial_prices = True, spy = add_equity('SPY', resolution=Resolution.MINUTE).symbol, _orb_high = _orb_low = None, schedule.on(date_rules.every_day(spy), time_rules.at(15, 55), self._liquidate_eod). _liquidate_eod: liquidate(spy); reset range. on_data: bar = data.bars.get(spy); t = self.time.time(); if time(9,30) &lt;= t &lt; time(10,0): extend range with bar.high/bar.low; elif t &gt;= time(10,0): if _orb_high and bar.close &gt; _orb_high: set_holdings(spy, 1.0), clear range; if _orb_low and bar.close &lt; _orb_low: set_holdings(spy, -1.0), clear range.</t>
        </is>
      </c>
      <c r="F72" s="34" t="n"/>
      <c r="G72" s="34" t="n"/>
      <c r="H72" s="34" t="n"/>
      <c r="I72" s="34" t="n"/>
      <c r="J72" s="34" t="n"/>
      <c r="K72" s="34" t="n"/>
      <c r="L72" s="34" t="n"/>
      <c r="M72" s="34" t="n"/>
      <c r="N72" s="34" t="n"/>
      <c r="O72" s="36" t="n"/>
      <c r="P72" s="36" t="n"/>
      <c r="Q72" s="35" t="n"/>
    </row>
    <row r="73" ht="35.05" customHeight="1" s="23">
      <c r="A73" s="37" t="inlineStr">
        <is>
          <t>equity-pairs-trading-cointegration/main.py</t>
        </is>
      </c>
      <c r="B73" s="37" t="n">
        <v>1</v>
      </c>
      <c r="C73" s="37" t="inlineStr">
        <is>
          <t>individual</t>
        </is>
      </c>
      <c r="D73" s="37" t="inlineStr">
        <is>
          <t>vague</t>
        </is>
      </c>
      <c r="E73" s="35" t="inlineStr">
        <is>
          <t>Can you build a pairs trading bot for Coke and Pepsi? When they drift apart bet on them coming back together, and close out when they're back to normal. 2022 to 2024.</t>
        </is>
      </c>
      <c r="F73" s="34" t="n"/>
      <c r="G73" s="34" t="n"/>
      <c r="H73" s="34" t="n"/>
      <c r="I73" s="34" t="n"/>
      <c r="J73" s="34" t="n"/>
      <c r="K73" s="34" t="n"/>
      <c r="L73" s="34" t="n"/>
      <c r="M73" s="34" t="n"/>
      <c r="N73" s="34" t="n"/>
      <c r="O73" s="36" t="n"/>
      <c r="P73" s="36" t="n"/>
      <c r="Q73" s="35" t="n"/>
    </row>
    <row r="74" ht="79.84999999999999" customHeight="1" s="23">
      <c r="A74" s="37" t="inlineStr">
        <is>
          <t>equity-pairs-trading-cointegration/main.py</t>
        </is>
      </c>
      <c r="B74" s="37" t="n">
        <v>2</v>
      </c>
      <c r="C74" s="37" t="inlineStr">
        <is>
          <t>individual</t>
        </is>
      </c>
      <c r="D74" s="37" t="inlineStr">
        <is>
          <t>precise</t>
        </is>
      </c>
      <c r="E74" s="35" t="inlineStr">
        <is>
          <t>Pairs trade KO and PEP. Once a week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t>
        </is>
      </c>
      <c r="F74" s="34" t="n"/>
      <c r="G74" s="34" t="n"/>
      <c r="H74" s="34" t="n"/>
      <c r="I74" s="34" t="n"/>
      <c r="J74" s="34" t="n"/>
      <c r="K74" s="34" t="n"/>
      <c r="L74" s="34" t="n"/>
      <c r="M74" s="34" t="n"/>
      <c r="N74" s="34" t="n"/>
      <c r="O74" s="36" t="n"/>
      <c r="P74" s="36" t="n"/>
      <c r="Q74" s="35" t="n"/>
    </row>
    <row r="75" ht="102.2" customHeight="1" s="23">
      <c r="A75" s="37" t="inlineStr">
        <is>
          <t>equity-pairs-trading-cointegration/main.py</t>
        </is>
      </c>
      <c r="B75" s="37" t="n">
        <v>3</v>
      </c>
      <c r="C75" s="37" t="inlineStr">
        <is>
          <t>individual</t>
        </is>
      </c>
      <c r="D75" s="37" t="inlineStr">
        <is>
          <t>over_specified</t>
        </is>
      </c>
      <c r="E75" s="35" t="inlineStr">
        <is>
          <t>Pairs trade KO and PEP. Once a week at 9:31 fit a linear regression of KO's price on PEP's price over the last 60 daily closes to get the slope and intercept, and save the mean and standard deviation of the spread. Every day at 10:00 compute the z-score of today's spread. If z is below -2 buy KO and short PEP with half the money each. If z is above 2 do the opposite. If z is between -0.5 and 0.5 close everything. Minute data, Jan 1 2022 to Dec 31 2024, 100k. Use numpy for the regression, call the class KoPepPairs, keep a state variable for flat/long/short so it doesn't re-enter the same side, and add comments on each rule.</t>
        </is>
      </c>
      <c r="F75" s="34" t="n"/>
      <c r="G75" s="34" t="n"/>
      <c r="H75" s="34" t="n"/>
      <c r="I75" s="34" t="n"/>
      <c r="J75" s="34" t="n"/>
      <c r="K75" s="34" t="n"/>
      <c r="L75" s="34" t="n"/>
      <c r="M75" s="34" t="n"/>
      <c r="N75" s="34" t="n"/>
      <c r="O75" s="36" t="n"/>
      <c r="P75" s="36" t="n"/>
      <c r="Q75" s="35" t="n"/>
    </row>
    <row r="76" ht="23.85" customHeight="1" s="23">
      <c r="A76" s="37" t="inlineStr">
        <is>
          <t>equity-pairs-trading-cointegration/main.py</t>
        </is>
      </c>
      <c r="B76" s="37" t="n">
        <v>4</v>
      </c>
      <c r="C76" s="37" t="inlineStr">
        <is>
          <t>startup</t>
        </is>
      </c>
      <c r="D76" s="37" t="inlineStr">
        <is>
          <t>vague</t>
        </is>
      </c>
      <c r="E76" s="35" t="inlineStr">
        <is>
          <t>KO/PEP stat arb. 60d OLS hedge weekly, z-score daily, ±2 in, 0.5 out, $-neutral. 2022-2024.</t>
        </is>
      </c>
      <c r="F76" s="34" t="n"/>
      <c r="G76" s="34" t="n"/>
      <c r="H76" s="34" t="n"/>
      <c r="I76" s="34" t="n"/>
      <c r="J76" s="34" t="n"/>
      <c r="K76" s="34" t="n"/>
      <c r="L76" s="34" t="n"/>
      <c r="M76" s="34" t="n"/>
      <c r="N76" s="34" t="n"/>
      <c r="O76" s="36" t="n"/>
      <c r="P76" s="36" t="n"/>
      <c r="Q76" s="35" t="n"/>
    </row>
    <row r="77" ht="46.25" customHeight="1" s="23">
      <c r="A77" s="37" t="inlineStr">
        <is>
          <t>equity-pairs-trading-cointegration/main.py</t>
        </is>
      </c>
      <c r="B77" s="37" t="n">
        <v>5</v>
      </c>
      <c r="C77" s="37" t="inlineStr">
        <is>
          <t>startup</t>
        </is>
      </c>
      <c r="D77" s="37" t="inlineStr">
        <is>
          <t>precise</t>
        </is>
      </c>
      <c r="E77" s="35" t="inlineStr">
        <is>
          <t>KO, PEP minute. Weekly 09:31: OLS KO ~ PEP on last 60 daily closes -&gt; beta, alpha, spread mean/std. Daily 10:00: z = (spread - mean)/std. z &lt; -2: KO +50% PEP -50%. z &gt; 2: reverse. |z| &lt; 0.5: flat. Warm up 60 daily. 2022-01-01 to 2024-12-31, 100k.</t>
        </is>
      </c>
      <c r="F77" s="34" t="n"/>
      <c r="G77" s="34" t="n"/>
      <c r="H77" s="34" t="n"/>
      <c r="I77" s="34" t="n"/>
      <c r="J77" s="34" t="n"/>
      <c r="K77" s="34" t="n"/>
      <c r="L77" s="34" t="n"/>
      <c r="M77" s="34" t="n"/>
      <c r="N77" s="34" t="n"/>
      <c r="O77" s="36" t="n"/>
      <c r="P77" s="36" t="n"/>
      <c r="Q77" s="35" t="n"/>
    </row>
    <row r="78" ht="79.84999999999999" customHeight="1" s="23">
      <c r="A78" s="37" t="inlineStr">
        <is>
          <t>equity-pairs-trading-cointegration/main.py</t>
        </is>
      </c>
      <c r="B78" s="37" t="n">
        <v>6</v>
      </c>
      <c r="C78" s="37" t="inlineStr">
        <is>
          <t>startup</t>
        </is>
      </c>
      <c r="D78" s="37" t="inlineStr">
        <is>
          <t>over_specified</t>
        </is>
      </c>
      <c r="E78" s="35" t="inlineStr">
        <is>
          <t>KO, PEP minute. Weekly 09:31 (and on warm-up finished): OLS KO ~ PEP on last 60 daily session closes via np.linalg.lstsq -&gt; beta, alpha, spread mean/std (floor std 1e-6). Daily 10:00: z = (spread - mean)/std. z &lt; -2 and not long: KO +50% PEP -50%. z &gt; 2 and not short: reverse. |z| &lt; 0.5 and in position: liquidate. Track state 0/1/-1. set_warm_up(60, daily). 2022-01-01 to 2024-12-31, 100k. Use security.session for closes, snake_case, no history() calls.</t>
        </is>
      </c>
      <c r="F78" s="34" t="n"/>
      <c r="G78" s="34" t="n"/>
      <c r="H78" s="34" t="n"/>
      <c r="I78" s="34" t="n"/>
      <c r="J78" s="34" t="n"/>
      <c r="K78" s="34" t="n"/>
      <c r="L78" s="34" t="n"/>
      <c r="M78" s="34" t="n"/>
      <c r="N78" s="34" t="n"/>
      <c r="O78" s="36" t="n"/>
      <c r="P78" s="36" t="n"/>
      <c r="Q78" s="35" t="n"/>
    </row>
    <row r="79" ht="46.25" customHeight="1" s="23">
      <c r="A79" s="37" t="inlineStr">
        <is>
          <t>equity-pairs-trading-cointegration/main.py</t>
        </is>
      </c>
      <c r="B79" s="37" t="n">
        <v>7</v>
      </c>
      <c r="C79" s="37" t="inlineStr">
        <is>
          <t>institutional</t>
        </is>
      </c>
      <c r="D79" s="37" t="inlineStr">
        <is>
          <t>vague</t>
        </is>
      </c>
      <c r="E79" s="35" t="inlineStr">
        <is>
          <t>We need a market-neutral pairs trading reference on KO and PEP for 2022 through 2024, consistent with our internal implementation: rolling OLS hedge ratio, z-score entries and exits, dollar-neutral legs. Standard paper account.</t>
        </is>
      </c>
      <c r="F79" s="34" t="n"/>
      <c r="G79" s="34" t="n"/>
      <c r="H79" s="34" t="n"/>
      <c r="I79" s="34" t="n"/>
      <c r="J79" s="34" t="n"/>
      <c r="K79" s="34" t="n"/>
      <c r="L79" s="34" t="n"/>
      <c r="M79" s="34" t="n"/>
      <c r="N79" s="34" t="n"/>
      <c r="O79" s="36" t="n"/>
      <c r="P79" s="36" t="n"/>
      <c r="Q79" s="35" t="n"/>
    </row>
    <row r="80" ht="79.84999999999999" customHeight="1" s="23">
      <c r="A80" s="37" t="inlineStr">
        <is>
          <t>equity-pairs-trading-cointegration/main.py</t>
        </is>
      </c>
      <c r="B80" s="37" t="n">
        <v>8</v>
      </c>
      <c r="C80" s="37" t="inlineStr">
        <is>
          <t>institutional</t>
        </is>
      </c>
      <c r="D80" s="37" t="inlineStr">
        <is>
          <t>precise</t>
        </is>
      </c>
      <c r="E80" s="35" t="inlineStr">
        <is>
          <t>Implement the desk's pairs trading reference on KO and PEP. Resolution: minute. Window: 2022-01-01 to 2024-12-31. Capital: 100,000. Model: weekly at 09:31, fit OLS of KO on PEP over the last 60 daily closes to obtain beta and alpha, and record the spread's mean and standard deviation. Signal: daily at 10:00, z-score of the current spread. Rules: z below -2, long KO 50% and short PEP 50%; z above 2, the reverse; absolute z below 0.5, liquidate. Warm up 60 daily bars.</t>
        </is>
      </c>
      <c r="F80" s="34" t="n"/>
      <c r="G80" s="34" t="n"/>
      <c r="H80" s="34" t="n"/>
      <c r="I80" s="34" t="n"/>
      <c r="J80" s="34" t="n"/>
      <c r="K80" s="34" t="n"/>
      <c r="L80" s="34" t="n"/>
      <c r="M80" s="34" t="n"/>
      <c r="N80" s="34" t="n"/>
      <c r="O80" s="36" t="n"/>
      <c r="P80" s="36" t="n"/>
      <c r="Q80" s="35" t="n"/>
    </row>
    <row r="81" ht="135.8" customHeight="1" s="23">
      <c r="A81" s="37" t="inlineStr">
        <is>
          <t>equity-pairs-trading-cointegration/main.py</t>
        </is>
      </c>
      <c r="B81" s="37" t="n">
        <v>9</v>
      </c>
      <c r="C81" s="37" t="inlineStr">
        <is>
          <t>institutional</t>
        </is>
      </c>
      <c r="D81" s="37" t="inlineStr">
        <is>
          <t>over_specified</t>
        </is>
      </c>
      <c r="E81" s="35" t="inlineStr">
        <is>
          <t>Implement the desk's pairs trading reference on KO and PEP. Resolution: minute. Window: 2022-01-01 to 2024-12-31. Capital: 100,000. Model: weekly at 09:31 via a scheduled event, and once when warm-up finishes, fit OLS of KO on PEP over the last 60 daily closes to obtain beta and alpha, and record the spread's mean and standard deviation, flooring the standard deviation at 1e-6. Signal: daily at 10:00 via a scheduled event, z-score of the current spread. Rules: z below -2 and not already long the spread, long KO 50% and short PEP 50%; z above 2 and not already short the spread, the reverse; absolute z below 0.5 while in a position, liquidate. Track the position state. Warm up 60 daily bars. Compliance: dollar-neutral legs at exactly 50% each, no net leverage beyond that, snake_case API per style guide, type annotations.</t>
        </is>
      </c>
      <c r="F81" s="34" t="n"/>
      <c r="G81" s="34" t="n"/>
      <c r="H81" s="34" t="n"/>
      <c r="I81" s="34" t="n"/>
      <c r="J81" s="34" t="n"/>
      <c r="K81" s="34" t="n"/>
      <c r="L81" s="34" t="n"/>
      <c r="M81" s="34" t="n"/>
      <c r="N81" s="34" t="n"/>
      <c r="O81" s="36" t="n"/>
      <c r="P81" s="36" t="n"/>
      <c r="Q81" s="35" t="n"/>
    </row>
    <row r="82" ht="147" customHeight="1" s="23">
      <c r="A82" s="37" t="inlineStr">
        <is>
          <t>equity-pairs-trading-cointegration/main.py</t>
        </is>
      </c>
      <c r="B82" s="37" t="n">
        <v>10</v>
      </c>
      <c r="C82" s="37" t="inlineStr">
        <is>
          <t>reference</t>
        </is>
      </c>
      <c r="D82" s="37" t="inlineStr">
        <is>
          <t>ceiling</t>
        </is>
      </c>
      <c r="E82" s="35" t="inlineStr">
        <is>
          <t>QuantConnect Python, snake_case. initialize: dates 2022-01-01 to 2024-12-31, set_cash(100_000), ko/pep = add_equity(..., Resolution.MINUTE), set each security.session.size = 60, _alpha/_beta/_spread_mean/_spread_std/_state, set_warm_up(60, Resolution.DAILY), schedule.on(date_rules.week_start(), time_rules.at(9, 31), self._update_model), schedule.on(date_rules.every_day(), time_rules.at(10, 0), self._trade_logic); on_warmup_finished calls _update_model. _update_model: pull 60 session closes, np.linalg.lstsq for beta/alpha, spread = ko - (beta*pep + alpha), store mean/std. _trade_logic: z from securities[].close; z &lt; -2 and state != 1 -&gt; set_holdings([PortfolioTarget(ko, 0.5), PortfolioTarget(pep, -0.5)]), state = 1; z &gt; 2 and state != -1 -&gt; reverse, state = -1; abs(z) &lt; 0.5 and state != 0 -&gt; liquidate(), state = 0.</t>
        </is>
      </c>
      <c r="F82" s="34" t="n"/>
      <c r="G82" s="34" t="n"/>
      <c r="H82" s="34" t="n"/>
      <c r="I82" s="34" t="n"/>
      <c r="J82" s="34" t="n"/>
      <c r="K82" s="34" t="n"/>
      <c r="L82" s="34" t="n"/>
      <c r="M82" s="34" t="n"/>
      <c r="N82" s="34" t="n"/>
      <c r="O82" s="36" t="n"/>
      <c r="P82" s="36" t="n"/>
      <c r="Q82" s="35" t="n"/>
    </row>
    <row r="83" ht="35.05" customHeight="1" s="23">
      <c r="A83" s="34" t="inlineStr">
        <is>
          <t>option-iron-condor-spy/main.py</t>
        </is>
      </c>
      <c r="B83" s="34" t="n">
        <v>1</v>
      </c>
      <c r="C83" s="34" t="inlineStr">
        <is>
          <t>individual</t>
        </is>
      </c>
      <c r="D83" s="34" t="inlineStr">
        <is>
          <t>vague</t>
        </is>
      </c>
      <c r="E83" s="35" t="inlineStr">
        <is>
          <t>I want to sell iron condors on SPY every week to collect premium. Open them Monday, close them Friday before the market closes. Last few months of 2024.</t>
        </is>
      </c>
      <c r="F83" s="34" t="n"/>
      <c r="G83" s="34" t="n"/>
      <c r="H83" s="34" t="n"/>
      <c r="I83" s="34" t="n"/>
      <c r="J83" s="34" t="n"/>
      <c r="K83" s="34" t="n"/>
      <c r="L83" s="34" t="n"/>
      <c r="M83" s="34" t="n"/>
      <c r="N83" s="34" t="n"/>
      <c r="O83" s="36" t="n"/>
      <c r="P83" s="36" t="n"/>
      <c r="Q83" s="35" t="n"/>
    </row>
    <row r="84" ht="57.45" customHeight="1" s="23">
      <c r="A84" s="34" t="inlineStr">
        <is>
          <t>option-iron-condor-spy/main.py</t>
        </is>
      </c>
      <c r="B84" s="34" t="n">
        <v>2</v>
      </c>
      <c r="C84" s="34" t="inlineStr">
        <is>
          <t>individual</t>
        </is>
      </c>
      <c r="D84" s="34" t="inlineStr">
        <is>
          <t>precise</t>
        </is>
      </c>
      <c r="E84" s="35" t="inlineStr">
        <is>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t>
        </is>
      </c>
      <c r="F84" s="34" t="n"/>
      <c r="G84" s="34" t="n"/>
      <c r="H84" s="34" t="n"/>
      <c r="I84" s="34" t="n"/>
      <c r="J84" s="34" t="n"/>
      <c r="K84" s="34" t="n"/>
      <c r="L84" s="34" t="n"/>
      <c r="M84" s="34" t="n"/>
      <c r="N84" s="34" t="n"/>
      <c r="O84" s="36" t="n"/>
      <c r="P84" s="36" t="n"/>
      <c r="Q84" s="35" t="n"/>
    </row>
    <row r="85" ht="91" customHeight="1" s="23">
      <c r="A85" s="34" t="inlineStr">
        <is>
          <t>option-iron-condor-spy/main.py</t>
        </is>
      </c>
      <c r="B85" s="34" t="n">
        <v>3</v>
      </c>
      <c r="C85" s="34" t="inlineStr">
        <is>
          <t>individual</t>
        </is>
      </c>
      <c r="D85" s="34" t="inlineStr">
        <is>
          <t>over_specified</t>
        </is>
      </c>
      <c r="E85" s="35" t="inlineStr">
        <is>
          <t>Every Monday a minute after the open, open an iron condor on SPY expiring that Friday: sell the call closest to 0.10 delta and the put closest to -0.10 delta, and buy a call and a put 3 strikes further out, one contract. Skip the week if any leg has no bid or ask. Close everything Friday 5 minutes before the close. Sept 1 to Dec 31 2024, 100k. Filter the chain to strikes -10 to +10 and expiries 0 to 7 days so it loads fast, use the built-in iron condor strategy helper, call the class WeeklyCondor, and comment each leg.</t>
        </is>
      </c>
      <c r="F85" s="34" t="n"/>
      <c r="G85" s="34" t="n"/>
      <c r="H85" s="34" t="n"/>
      <c r="I85" s="34" t="n"/>
      <c r="J85" s="34" t="n"/>
      <c r="K85" s="34" t="n"/>
      <c r="L85" s="34" t="n"/>
      <c r="M85" s="34" t="n"/>
      <c r="N85" s="34" t="n"/>
      <c r="O85" s="36" t="n"/>
      <c r="P85" s="36" t="n"/>
      <c r="Q85" s="35" t="n"/>
    </row>
    <row r="86" ht="23.85" customHeight="1" s="23">
      <c r="A86" s="34" t="inlineStr">
        <is>
          <t>option-iron-condor-spy/main.py</t>
        </is>
      </c>
      <c r="B86" s="34" t="n">
        <v>4</v>
      </c>
      <c r="C86" s="34" t="inlineStr">
        <is>
          <t>startup</t>
        </is>
      </c>
      <c r="D86" s="34" t="inlineStr">
        <is>
          <t>vague</t>
        </is>
      </c>
      <c r="E86" s="35" t="inlineStr">
        <is>
          <t>SPY weekly IC. Mon open sell 10d strangle, wings +3 strikes, Fri expiry, close Fri before bell. Q4 2024.</t>
        </is>
      </c>
      <c r="F86" s="34" t="n"/>
      <c r="G86" s="34" t="n"/>
      <c r="H86" s="34" t="n"/>
      <c r="I86" s="34" t="n"/>
      <c r="J86" s="34" t="n"/>
      <c r="K86" s="34" t="n"/>
      <c r="L86" s="34" t="n"/>
      <c r="M86" s="34" t="n"/>
      <c r="N86" s="34" t="n"/>
      <c r="O86" s="36" t="n"/>
      <c r="P86" s="36" t="n"/>
      <c r="Q86" s="35" t="n"/>
    </row>
    <row r="87" ht="57.45" customHeight="1" s="23">
      <c r="A87" s="34" t="inlineStr">
        <is>
          <t>option-iron-condor-spy/main.py</t>
        </is>
      </c>
      <c r="B87" s="34" t="n">
        <v>5</v>
      </c>
      <c r="C87" s="34" t="inlineStr">
        <is>
          <t>startup</t>
        </is>
      </c>
      <c r="D87" s="34" t="inlineStr">
        <is>
          <t>precise</t>
        </is>
      </c>
      <c r="E87" s="35" t="inlineStr">
        <is>
          <t>SPY options, filter strikes(-10,10) expiration(0,7). Mon +1m after open: expiry = this Fri; short call nearest +0.10 delta, short put nearest -0.10 delta, wings 3 strikes out; skip if any leg missing bid/ask; buy OptionStrategies.iron_condor x1. Fri -5m before close: liquidate. 2024-09-01 to 2024-12-31, 100k.</t>
        </is>
      </c>
      <c r="F87" s="34" t="n"/>
      <c r="G87" s="34" t="n"/>
      <c r="H87" s="34" t="n"/>
      <c r="I87" s="34" t="n"/>
      <c r="J87" s="34" t="n"/>
      <c r="K87" s="34" t="n"/>
      <c r="L87" s="34" t="n"/>
      <c r="M87" s="34" t="n"/>
      <c r="N87" s="34" t="n"/>
      <c r="O87" s="36" t="n"/>
      <c r="P87" s="36" t="n"/>
      <c r="Q87" s="35" t="n"/>
    </row>
    <row r="88" ht="79.84999999999999" customHeight="1" s="23">
      <c r="A88" s="34" t="inlineStr">
        <is>
          <t>option-iron-condor-spy/main.py</t>
        </is>
      </c>
      <c r="B88" s="34" t="n">
        <v>6</v>
      </c>
      <c r="C88" s="34" t="inlineStr">
        <is>
          <t>startup</t>
        </is>
      </c>
      <c r="D88" s="34" t="inlineStr">
        <is>
          <t>over_specified</t>
        </is>
      </c>
      <c r="E88" s="35" t="inlineStr">
        <is>
          <t>SPY options, filter strikes(-10,10) expiration(0,7). Mon +1m after open via schedule: expiry = this Fri; need &gt;= 4 calls and &gt;= 4 puts; short call nearest +0.10 delta, short put nearest -0.10 delta, wings 3 strikes out in sorted strike list with bounds check; skip if any leg missing bid/ask; buy OptionStrategies.iron_condor x1. Fri -5m before close via schedule: liquidate. 2024-09-01 to 2024-12-31, 100k. Seed initial prices, use self.option_chain not slice, snake_case.</t>
        </is>
      </c>
      <c r="F88" s="34" t="n"/>
      <c r="G88" s="34" t="n"/>
      <c r="H88" s="34" t="n"/>
      <c r="I88" s="34" t="n"/>
      <c r="J88" s="34" t="n"/>
      <c r="K88" s="34" t="n"/>
      <c r="L88" s="34" t="n"/>
      <c r="M88" s="34" t="n"/>
      <c r="N88" s="34" t="n"/>
      <c r="O88" s="36" t="n"/>
      <c r="P88" s="36" t="n"/>
      <c r="Q88" s="35" t="n"/>
    </row>
    <row r="89" ht="46.25" customHeight="1" s="23">
      <c r="A89" s="34" t="inlineStr">
        <is>
          <t>option-iron-condor-spy/main.py</t>
        </is>
      </c>
      <c r="B89" s="34" t="n">
        <v>7</v>
      </c>
      <c r="C89" s="34" t="inlineStr">
        <is>
          <t>institutional</t>
        </is>
      </c>
      <c r="D89" s="34" t="inlineStr">
        <is>
          <t>vague</t>
        </is>
      </c>
      <c r="E89" s="35" t="inlineStr">
        <is>
          <t>We need a weekly SPY iron condor income reference for the September to December 2024 window, consistent with our internal implementation: short strikes near 10 delta, defined-risk wings, opened Monday and closed before Friday's close. Standard paper account.</t>
        </is>
      </c>
      <c r="F89" s="34" t="n"/>
      <c r="G89" s="34" t="n"/>
      <c r="H89" s="34" t="n"/>
      <c r="I89" s="34" t="n"/>
      <c r="J89" s="34" t="n"/>
      <c r="K89" s="34" t="n"/>
      <c r="L89" s="34" t="n"/>
      <c r="M89" s="34" t="n"/>
      <c r="N89" s="34" t="n"/>
      <c r="O89" s="36" t="n"/>
      <c r="P89" s="36" t="n"/>
      <c r="Q89" s="35" t="n"/>
    </row>
    <row r="90" ht="79.84999999999999" customHeight="1" s="23">
      <c r="A90" s="34" t="inlineStr">
        <is>
          <t>option-iron-condor-spy/main.py</t>
        </is>
      </c>
      <c r="B90" s="34" t="n">
        <v>8</v>
      </c>
      <c r="C90" s="34" t="inlineStr">
        <is>
          <t>institutional</t>
        </is>
      </c>
      <c r="D90" s="34" t="inlineStr">
        <is>
          <t>precise</t>
        </is>
      </c>
      <c r="E90" s="35" t="inlineStr">
        <is>
          <t>Implement the desk's weekly SPY iron condor reference. Window: 2024-09-01 to 2024-12-31. Capital: 100,000. Chain filter: strikes -10 to +10 around the money, expiries 0 to 7 days. Open: every Monday one minute after the open, using contracts expiring that Friday; short call nearest +0.10 delta, short put nearest -0.10 delta, long call and long put 3 strikes further out; one iron condor; skip if any leg lacks a bid or ask. Close: every Friday five minutes before the close, liquidate all positions.</t>
        </is>
      </c>
      <c r="F90" s="34" t="n"/>
      <c r="G90" s="34" t="n"/>
      <c r="H90" s="34" t="n"/>
      <c r="I90" s="34" t="n"/>
      <c r="J90" s="34" t="n"/>
      <c r="K90" s="34" t="n"/>
      <c r="L90" s="34" t="n"/>
      <c r="M90" s="34" t="n"/>
      <c r="N90" s="34" t="n"/>
      <c r="O90" s="36" t="n"/>
      <c r="P90" s="36" t="n"/>
      <c r="Q90" s="35" t="n"/>
    </row>
    <row r="91" ht="124.6" customHeight="1" s="23">
      <c r="A91" s="34" t="inlineStr">
        <is>
          <t>option-iron-condor-spy/main.py</t>
        </is>
      </c>
      <c r="B91" s="34" t="n">
        <v>9</v>
      </c>
      <c r="C91" s="34" t="inlineStr">
        <is>
          <t>institutional</t>
        </is>
      </c>
      <c r="D91" s="34" t="inlineStr">
        <is>
          <t>over_specified</t>
        </is>
      </c>
      <c r="E91" s="35" t="inlineStr">
        <is>
          <t>Implement the desk's weekly SPY iron condor reference. Window: 2024-09-01 to 2024-12-31. Capital: 100,000. Chain filter: strikes -10 to +10 around the money, expiries 0 to 7 days. Open: every Monday one minute after the open via a scheduled event, using contracts expiring that Friday; require at least 4 calls and 4 puts; short call nearest +0.10 delta, short put nearest -0.10 delta, long call and long put 3 strikes further out with bounds checks; one iron condor via the OptionStrategies helper; skip if any leg lacks a bid or ask. Close: every Friday five minutes before the close via a scheduled event, liquidate all positions. Compliance: defined risk only, one condor at a time, seed initial prices, snake_case API per style guide, type annotations, no naked short options.</t>
        </is>
      </c>
      <c r="F91" s="34" t="n"/>
      <c r="G91" s="34" t="n"/>
      <c r="H91" s="34" t="n"/>
      <c r="I91" s="34" t="n"/>
      <c r="J91" s="34" t="n"/>
      <c r="K91" s="34" t="n"/>
      <c r="L91" s="34" t="n"/>
      <c r="M91" s="34" t="n"/>
      <c r="N91" s="34" t="n"/>
      <c r="O91" s="36" t="n"/>
      <c r="P91" s="36" t="n"/>
      <c r="Q91" s="35" t="n"/>
    </row>
    <row r="92" ht="180.55" customHeight="1" s="23">
      <c r="A92" s="34" t="inlineStr">
        <is>
          <t>option-iron-condor-spy/main.py</t>
        </is>
      </c>
      <c r="B92" s="34" t="n">
        <v>10</v>
      </c>
      <c r="C92" s="34" t="inlineStr">
        <is>
          <t>reference</t>
        </is>
      </c>
      <c r="D92" s="34" t="inlineStr">
        <is>
          <t>ceiling</t>
        </is>
      </c>
      <c r="E92" s="35" t="inlineStr">
        <is>
          <t>QuantConnect Python, snake_case. initialize: set_start_date(2024, 9, 1), set_end_date(2024, 12, 31), set_cash(100000), settings.seed_initial_prices = True, _option = add_option('SPY'), _option.set_filter(lambda u: u.strikes(-10, 10).expiration(0, 7)), schedule.on(date_rules.every(DayOfWeek.MONDAY), time_rules.after_market_open(_option, 1), self._open_iron_condor), schedule.on(date_rules.every(DayOfWeek.FRIDAY), time_rules.before_market_close(_option, 5), self._close). _open_iron_condor: next_friday = (self.time + timedelta(4)).date(); chain = [x for x in self.option_chain(_option) if x.expiry.date() == next_friday]; split calls/puts sorted by strike; shorts by abs(greeks.delta -/+ 0.10); wings at sorted-strike index +/-3 with bounds check; require bid_price and ask_price on all four; self.buy(OptionStrategies.iron_condor(_option.symbol, long_put.strike, short_put.strike, short_call.strike, long_call.strike, next_friday), 1). _close: liquidate().</t>
        </is>
      </c>
      <c r="F92" s="34" t="n"/>
      <c r="G92" s="34" t="n"/>
      <c r="H92" s="34" t="n"/>
      <c r="I92" s="34" t="n"/>
      <c r="J92" s="34" t="n"/>
      <c r="K92" s="34" t="n"/>
      <c r="L92" s="34" t="n"/>
      <c r="M92" s="34" t="n"/>
      <c r="N92" s="34" t="n"/>
      <c r="O92" s="36" t="n"/>
      <c r="P92" s="36" t="n"/>
      <c r="Q92" s="35" t="n"/>
    </row>
    <row r="93" ht="35.05" customHeight="1" s="23">
      <c r="A93" s="37" t="inlineStr">
        <is>
          <t>futures/main.py</t>
        </is>
      </c>
      <c r="B93" s="37" t="n">
        <v>1</v>
      </c>
      <c r="C93" s="37" t="inlineStr">
        <is>
          <t>individual</t>
        </is>
      </c>
      <c r="D93" s="37" t="inlineStr">
        <is>
          <t>vague</t>
        </is>
      </c>
      <c r="E93" s="35" t="inlineStr">
        <is>
          <t>I just want to hold one S&amp;P 500 e-mini futures contract and have the bot handle switching to the next contract when it expires. Last few months of 2024.</t>
        </is>
      </c>
      <c r="F93" s="34" t="n"/>
      <c r="G93" s="34" t="n"/>
      <c r="H93" s="34" t="n"/>
      <c r="I93" s="34" t="n"/>
      <c r="J93" s="34" t="n"/>
      <c r="K93" s="34" t="n"/>
      <c r="L93" s="34" t="n"/>
      <c r="M93" s="34" t="n"/>
      <c r="N93" s="34" t="n"/>
      <c r="O93" s="36" t="n"/>
      <c r="P93" s="36" t="n"/>
      <c r="Q93" s="35" t="n"/>
    </row>
    <row r="94" ht="46.25" customHeight="1" s="23">
      <c r="A94" s="37" t="inlineStr">
        <is>
          <t>futures/main.py</t>
        </is>
      </c>
      <c r="B94" s="37" t="n">
        <v>2</v>
      </c>
      <c r="C94" s="37" t="inlineStr">
        <is>
          <t>individual</t>
        </is>
      </c>
      <c r="D94" s="37" t="inlineStr">
        <is>
          <t>precise</t>
        </is>
      </c>
      <c r="E94" s="35" t="inlineStr">
        <is>
          <t>Add the E-mini S&amp;P 500 continuous future. Whenever I have no position, buy one contract of the currently mapped month. When the continuous contract rolls to a new month, sell the old contract and buy the same number of the new one. Sept 1 to Dec 31 2024.</t>
        </is>
      </c>
      <c r="F94" s="34" t="n"/>
      <c r="G94" s="34" t="n"/>
      <c r="H94" s="34" t="n"/>
      <c r="I94" s="34" t="n"/>
      <c r="J94" s="34" t="n"/>
      <c r="K94" s="34" t="n"/>
      <c r="L94" s="34" t="n"/>
      <c r="M94" s="34" t="n"/>
      <c r="N94" s="34" t="n"/>
      <c r="O94" s="36" t="n"/>
      <c r="P94" s="36" t="n"/>
      <c r="Q94" s="35" t="n"/>
    </row>
    <row r="95" ht="79.84999999999999" customHeight="1" s="23">
      <c r="A95" s="37" t="inlineStr">
        <is>
          <t>futures/main.py</t>
        </is>
      </c>
      <c r="B95" s="37" t="n">
        <v>3</v>
      </c>
      <c r="C95" s="37" t="inlineStr">
        <is>
          <t>individual</t>
        </is>
      </c>
      <c r="D95" s="37" t="inlineStr">
        <is>
          <t>over_specified</t>
        </is>
      </c>
      <c r="E95" s="35" t="inlineStr">
        <is>
          <t>Add the E-mini S&amp;P 500 continuous future with last-trading-day mapping and backwards-ratio normalization, extended hours on. Whenever I have no position, buy one contract of the currently mapped month. When the continuous contract rolls to a new month, sell the old contract and buy the same number of the new one, and tag those orders 'Rollover' so I can find them in the log. Sept 1 to Dec 31 2024. Call the class EsRoll and comment the rollover handler.</t>
        </is>
      </c>
      <c r="F95" s="34" t="n"/>
      <c r="G95" s="34" t="n"/>
      <c r="H95" s="34" t="n"/>
      <c r="I95" s="34" t="n"/>
      <c r="J95" s="34" t="n"/>
      <c r="K95" s="34" t="n"/>
      <c r="L95" s="34" t="n"/>
      <c r="M95" s="34" t="n"/>
      <c r="N95" s="34" t="n"/>
      <c r="O95" s="36" t="n"/>
      <c r="P95" s="36" t="n"/>
      <c r="Q95" s="35" t="n"/>
    </row>
    <row r="96" ht="15" customHeight="1" s="23">
      <c r="A96" s="37" t="inlineStr">
        <is>
          <t>futures/main.py</t>
        </is>
      </c>
      <c r="B96" s="37" t="n">
        <v>4</v>
      </c>
      <c r="C96" s="37" t="inlineStr">
        <is>
          <t>startup</t>
        </is>
      </c>
      <c r="D96" s="37" t="inlineStr">
        <is>
          <t>vague</t>
        </is>
      </c>
      <c r="E96" s="35" t="inlineStr">
        <is>
          <t>Long 1 ES continuous front month, roll on symbol change. Q4 2024.</t>
        </is>
      </c>
      <c r="F96" s="34" t="n"/>
      <c r="G96" s="34" t="n"/>
      <c r="H96" s="34" t="n"/>
      <c r="I96" s="34" t="n"/>
      <c r="J96" s="34" t="n"/>
      <c r="K96" s="34" t="n"/>
      <c r="L96" s="34" t="n"/>
      <c r="M96" s="34" t="n"/>
      <c r="N96" s="34" t="n"/>
      <c r="O96" s="36" t="n"/>
      <c r="P96" s="36" t="n"/>
      <c r="Q96" s="35" t="n"/>
    </row>
    <row r="97" ht="46.25" customHeight="1" s="23">
      <c r="A97" s="37" t="inlineStr">
        <is>
          <t>futures/main.py</t>
        </is>
      </c>
      <c r="B97" s="37" t="n">
        <v>5</v>
      </c>
      <c r="C97" s="37" t="inlineStr">
        <is>
          <t>startup</t>
        </is>
      </c>
      <c r="D97" s="37" t="inlineStr">
        <is>
          <t>precise</t>
        </is>
      </c>
      <c r="E97" s="35" t="inlineStr">
        <is>
          <t>ES (SP_500_E_MINI) continuous: LAST_TRADING_DAY mapping, BACKWARDS_RATIO, depth 0, ext hours, filter 0-92d. Flat -&gt; market order 1 of .mapped. on_symbol_changed_events: liquidate old, re-enter same qty on new. 2024-09-01 to 2024-12-31.</t>
        </is>
      </c>
      <c r="F97" s="34" t="n"/>
      <c r="G97" s="34" t="n"/>
      <c r="H97" s="34" t="n"/>
      <c r="I97" s="34" t="n"/>
      <c r="J97" s="34" t="n"/>
      <c r="K97" s="34" t="n"/>
      <c r="L97" s="34" t="n"/>
      <c r="M97" s="34" t="n"/>
      <c r="N97" s="34" t="n"/>
      <c r="O97" s="36" t="n"/>
      <c r="P97" s="36" t="n"/>
      <c r="Q97" s="35" t="n"/>
    </row>
    <row r="98" ht="79.84999999999999" customHeight="1" s="23">
      <c r="A98" s="37" t="inlineStr">
        <is>
          <t>futures/main.py</t>
        </is>
      </c>
      <c r="B98" s="37" t="n">
        <v>6</v>
      </c>
      <c r="C98" s="37" t="inlineStr">
        <is>
          <t>startup</t>
        </is>
      </c>
      <c r="D98" s="37" t="inlineStr">
        <is>
          <t>over_specified</t>
        </is>
      </c>
      <c r="E98" s="35" t="inlineStr">
        <is>
          <t>ES (SP_500_E_MINI) continuous: LAST_TRADING_DAY mapping, BACKWARDS_RATIO, contract_depth_offset 0, extended_market_hours, set_filter(0, 92), universe_settings.asynchronous True. on_data: if invested return; market_order(future.mapped, 1). on_symbol_changed_events: for each event, qty = portfolio[old].quantity, liquidate(old, tag=rollover tag), market_order(new, qty, same tag). 2024-09-01 to 2024-12-31. snake_case, no set_cash call, no indicators.</t>
        </is>
      </c>
      <c r="F98" s="34" t="n"/>
      <c r="G98" s="34" t="n"/>
      <c r="H98" s="34" t="n"/>
      <c r="I98" s="34" t="n"/>
      <c r="J98" s="34" t="n"/>
      <c r="K98" s="34" t="n"/>
      <c r="L98" s="34" t="n"/>
      <c r="M98" s="34" t="n"/>
      <c r="N98" s="34" t="n"/>
      <c r="O98" s="36" t="n"/>
      <c r="P98" s="36" t="n"/>
      <c r="Q98" s="35" t="n"/>
    </row>
    <row r="99" ht="46.25" customHeight="1" s="23">
      <c r="A99" s="37" t="inlineStr">
        <is>
          <t>futures/main.py</t>
        </is>
      </c>
      <c r="B99" s="37" t="n">
        <v>7</v>
      </c>
      <c r="C99" s="37" t="inlineStr">
        <is>
          <t>institutional</t>
        </is>
      </c>
      <c r="D99" s="37" t="inlineStr">
        <is>
          <t>vague</t>
        </is>
      </c>
      <c r="E99" s="35" t="inlineStr">
        <is>
          <t>We need a baseline long exposure to the E-mini S&amp;P 500 future for the September to December 2024 window, consistent with our internal implementation, with contract rolls handled automatically. Standard paper account.</t>
        </is>
      </c>
      <c r="F99" s="34" t="n"/>
      <c r="G99" s="34" t="n"/>
      <c r="H99" s="34" t="n"/>
      <c r="I99" s="34" t="n"/>
      <c r="J99" s="34" t="n"/>
      <c r="K99" s="34" t="n"/>
      <c r="L99" s="34" t="n"/>
      <c r="M99" s="34" t="n"/>
      <c r="N99" s="34" t="n"/>
      <c r="O99" s="36" t="n"/>
      <c r="P99" s="36" t="n"/>
      <c r="Q99" s="35" t="n"/>
    </row>
    <row r="100" ht="79.84999999999999" customHeight="1" s="23">
      <c r="A100" s="37" t="inlineStr">
        <is>
          <t>futures/main.py</t>
        </is>
      </c>
      <c r="B100" s="37" t="n">
        <v>8</v>
      </c>
      <c r="C100" s="37" t="inlineStr">
        <is>
          <t>institutional</t>
        </is>
      </c>
      <c r="D100" s="37" t="inlineStr">
        <is>
          <t>precise</t>
        </is>
      </c>
      <c r="E100" s="35" t="inlineStr">
        <is>
          <t>Implement the desk's continuous futures reference. Contract: E-mini S&amp;P 500 (Futures.Indices.SP_500_E_MINI), continuous series with last-trading-day mapping and backwards-ratio normalization, depth offset 0, extended market hours, contract filter 0 to 92 days. Window: 2024-09-01 to 2024-12-31. Rules: when flat, market order one contract of the mapped contract. Rollover: on each symbol-changed event, liquidate the old contract and re-establish the same quantity in the new one.</t>
        </is>
      </c>
      <c r="F100" s="34" t="n"/>
      <c r="G100" s="34" t="n"/>
      <c r="H100" s="34" t="n"/>
      <c r="I100" s="34" t="n"/>
      <c r="J100" s="34" t="n"/>
      <c r="K100" s="34" t="n"/>
      <c r="L100" s="34" t="n"/>
      <c r="M100" s="34" t="n"/>
      <c r="N100" s="34" t="n"/>
      <c r="O100" s="36" t="n"/>
      <c r="P100" s="36" t="n"/>
      <c r="Q100" s="35" t="n"/>
    </row>
    <row r="101" ht="135.8" customHeight="1" s="23">
      <c r="A101" s="37" t="inlineStr">
        <is>
          <t>futures/main.py</t>
        </is>
      </c>
      <c r="B101" s="37" t="n">
        <v>9</v>
      </c>
      <c r="C101" s="37" t="inlineStr">
        <is>
          <t>institutional</t>
        </is>
      </c>
      <c r="D101" s="37" t="inlineStr">
        <is>
          <t>over_specified</t>
        </is>
      </c>
      <c r="E101" s="35" t="inlineStr">
        <is>
          <t>Implement the desk's continuous futures reference. Contract: E-mini S&amp;P 500 (Futures.Indices.SP_500_E_MINI), continuous series with last-trading-day mapping and backwards-ratio normalization, depth offset 0, extended market hours, contract filter 0 to 92 days, asynchronous universe settings. Window: 2024-09-01 to 2024-12-31. Rules: when flat, market order one contract of the mapped contract. Rollover: in on_symbol_changed_events, for each event read the old contract's quantity, liquidate it with a rollover tag that names both symbols and the time, and market order the same quantity on the new contract with the same tag. Compliance: one contract maximum, all rollover orders tagged for audit, snake_case API per style guide, type annotations, docstring on the rollover handler.</t>
        </is>
      </c>
      <c r="F101" s="34" t="n"/>
      <c r="G101" s="34" t="n"/>
      <c r="H101" s="34" t="n"/>
      <c r="I101" s="34" t="n"/>
      <c r="J101" s="34" t="n"/>
      <c r="K101" s="34" t="n"/>
      <c r="L101" s="34" t="n"/>
      <c r="M101" s="34" t="n"/>
      <c r="N101" s="34" t="n"/>
      <c r="O101" s="36" t="n"/>
      <c r="P101" s="36" t="n"/>
      <c r="Q101" s="35" t="n"/>
    </row>
    <row r="102" ht="135.8" customHeight="1" s="23">
      <c r="A102" s="37" t="inlineStr">
        <is>
          <t>futures/main.py</t>
        </is>
      </c>
      <c r="B102" s="37" t="n">
        <v>10</v>
      </c>
      <c r="C102" s="37" t="inlineStr">
        <is>
          <t>reference</t>
        </is>
      </c>
      <c r="D102" s="37" t="inlineStr">
        <is>
          <t>ceiling</t>
        </is>
      </c>
      <c r="E102" s="35" t="inlineStr">
        <is>
          <t>QuantConnect Python, snake_case. initialize: set_start_date(2024, 9, 1), set_end_date(2024, 12, 31), universe_settings.asynchronous = True, _future = add_future(Futures.Indices.SP_500_E_MINI, extended_market_hours=True, data_mapping_mode=DataMappingMode.LAST_TRADING_DAY, data_normalization_mode=DataNormalizationMode.BACKWARDS_RATIO, contract_depth_offset=0), _future.set_filter(0, 92). on_data: if portfolio.invested return; market_order(_future.mapped, 1). on_symbol_changed_events(events): for symbol, ev in events.items(): old = self.symbol(ev.old_symbol); new = self.symbol(ev.new_symbol); qty = portfolio[old].quantity; tag = f'Rollover - {old.value} -&gt; {new.value}'; liquidate(old, tag=tag); if qty: market_order(new, qty, tag=tag).</t>
        </is>
      </c>
      <c r="F102" s="34" t="n"/>
      <c r="G102" s="34" t="n"/>
      <c r="H102" s="34" t="n"/>
      <c r="I102" s="34" t="n"/>
      <c r="J102" s="34" t="n"/>
      <c r="K102" s="34" t="n"/>
      <c r="L102" s="34" t="n"/>
      <c r="M102" s="34" t="n"/>
      <c r="N102" s="34" t="n"/>
      <c r="O102" s="36" t="n"/>
      <c r="P102" s="36" t="n"/>
      <c r="Q102" s="35" t="n"/>
    </row>
  </sheetData>
  <mergeCells count="5">
    <mergeCell ref="L1:N1"/>
    <mergeCell ref="F1:H1"/>
    <mergeCell ref="I1:K1"/>
    <mergeCell ref="O1:P1"/>
    <mergeCell ref="A1:E1"/>
  </mergeCells>
  <dataValidations count="2">
    <dataValidation sqref="O3:O102" showDropDown="0" showInputMessage="0" showErrorMessage="0" allowBlank="1" type="list" errorStyle="stop" operator="between">
      <formula1>"Y,N"</formula1>
      <formula2>0</formula2>
    </dataValidation>
    <dataValidation sqref="P3:P102" showDropDown="0" showInputMessage="0" showErrorMessage="0" allowBlank="1"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22" min="1" max="1"/>
    <col width="22" customWidth="1" style="22" min="2" max="5"/>
  </cols>
  <sheetData>
    <row r="1" ht="17.35" customHeight="1" s="23">
      <c r="A1" s="24" t="inlineStr">
        <is>
          <t>Summary (computed from Results)</t>
        </is>
      </c>
    </row>
    <row r="3" ht="15" customHeight="1" s="23">
      <c r="A3" s="28" t="inlineStr">
        <is>
          <t>Metric</t>
        </is>
      </c>
      <c r="B3" s="28" t="inlineStr">
        <is>
          <t>Fable (reference)</t>
        </is>
      </c>
      <c r="C3" s="28" t="inlineStr">
        <is>
          <t>Qwen base</t>
        </is>
      </c>
      <c r="D3" s="28" t="inlineStr">
        <is>
          <t>Qwen tuned</t>
        </is>
      </c>
      <c r="E3" s="28" t="inlineStr">
        <is>
          <t>Change (tuned - base)</t>
        </is>
      </c>
    </row>
    <row r="4" ht="15" customHeight="1" s="23">
      <c r="A4" s="25" t="inlineStr">
        <is>
          <t>Prompts scored</t>
        </is>
      </c>
      <c r="B4" s="38">
        <f>COUNT(Results!$F$3:$F$102)</f>
        <v/>
      </c>
      <c r="C4" s="38">
        <f>COUNT(Results!$I$3:$I$102)</f>
        <v/>
      </c>
      <c r="D4" s="38">
        <f>COUNT(Results!$L$3:$L$102)</f>
        <v/>
      </c>
      <c r="E4" s="38">
        <f>IF($D$4=0,"-",IFERROR(D4-C4,"-"))</f>
        <v/>
      </c>
    </row>
    <row r="5" ht="15" customHeight="1" s="23">
      <c r="A5" s="25" t="inlineStr">
        <is>
          <t>Total compile errors</t>
        </is>
      </c>
      <c r="B5" s="38">
        <f>SUM(Results!$F$3:$F$102)</f>
        <v/>
      </c>
      <c r="C5" s="38">
        <f>SUM(Results!$I$3:$I$102)</f>
        <v/>
      </c>
      <c r="D5" s="38">
        <f>SUM(Results!$L$3:$L$102)</f>
        <v/>
      </c>
      <c r="E5" s="38">
        <f>IF($D$4=0,"-",IFERROR(D5-C5,"-"))</f>
        <v/>
      </c>
    </row>
    <row r="6" ht="15" customHeight="1" s="23">
      <c r="A6" s="25" t="inlineStr">
        <is>
          <t>Total runtime errors</t>
        </is>
      </c>
      <c r="B6" s="38">
        <f>SUM(Results!$G$3:$G$102)</f>
        <v/>
      </c>
      <c r="C6" s="38">
        <f>SUM(Results!$J$3:$J$102)</f>
        <v/>
      </c>
      <c r="D6" s="38">
        <f>SUM(Results!$M$3:$M$102)</f>
        <v/>
      </c>
      <c r="E6" s="38">
        <f>IF($D$4=0,"-",IFERROR(D6-C6,"-"))</f>
        <v/>
      </c>
    </row>
    <row r="7" ht="15" customHeight="1" s="23">
      <c r="A7" s="25" t="inlineStr">
        <is>
          <t>Total errors</t>
        </is>
      </c>
      <c r="B7" s="38">
        <f>SUM(Results!$F$3:$F$102)+SUM(Results!$G$3:$G$102)</f>
        <v/>
      </c>
      <c r="C7" s="38">
        <f>SUM(Results!$I$3:$I$102)+SUM(Results!$J$3:$J$102)</f>
        <v/>
      </c>
      <c r="D7" s="38">
        <f>SUM(Results!$L$3:$L$102)+SUM(Results!$M$3:$M$102)</f>
        <v/>
      </c>
      <c r="E7" s="38">
        <f>IF($D$4=0,"-",IFERROR(D7-C7,"-"))</f>
        <v/>
      </c>
    </row>
    <row r="8" ht="15" customHeight="1" s="23">
      <c r="A8" s="25" t="inlineStr">
        <is>
          <t>Errors per prompt</t>
        </is>
      </c>
      <c r="B8" s="39">
        <f>IFERROR((SUM(Results!$F$3:$F$102)+SUM(Results!$G$3:$G$102))/COUNT(Results!$F$3:$F$102),"-")</f>
        <v/>
      </c>
      <c r="C8" s="39">
        <f>IFERROR((SUM(Results!$I$3:$I$102)+SUM(Results!$J$3:$J$102))/COUNT(Results!$I$3:$I$102),"-")</f>
        <v/>
      </c>
      <c r="D8" s="39">
        <f>IFERROR((SUM(Results!$L$3:$L$102)+SUM(Results!$M$3:$M$102))/COUNT(Results!$L$3:$L$102),"-")</f>
        <v/>
      </c>
      <c r="E8" s="39">
        <f>IF($D$4=0,"-",IFERROR(D8-C8,"-"))</f>
        <v/>
      </c>
    </row>
    <row r="9" ht="15" customHeight="1" s="23">
      <c r="A9" s="25" t="inlineStr">
        <is>
          <t>Clean runs (0 compile, 0 runtime) %</t>
        </is>
      </c>
      <c r="B9" s="40">
        <f>IFERROR(COUNTIFS(Results!$F$3:$F$102,0,Results!$G$3:$G$102,0)/COUNT(Results!$F$3:$F$102),"-")</f>
        <v/>
      </c>
      <c r="C9" s="40">
        <f>IFERROR(COUNTIFS(Results!$I$3:$I$102,0,Results!$J$3:$J$102,0)/COUNT(Results!$I$3:$I$102),"-")</f>
        <v/>
      </c>
      <c r="D9" s="40">
        <f>IFERROR(COUNTIFS(Results!$L$3:$L$102,0,Results!$M$3:$M$102,0)/COUNT(Results!$L$3:$L$102),"-")</f>
        <v/>
      </c>
      <c r="E9" s="40">
        <f>IF($D$4=0,"-",IFERROR(D9-C9,"-"))</f>
        <v/>
      </c>
    </row>
    <row r="10" ht="15" customHeight="1" s="23">
      <c r="A10" s="25" t="inlineStr">
        <is>
          <t>Average fidelity (1-5)</t>
        </is>
      </c>
      <c r="B10" s="39">
        <f>IFERROR(AVERAGE(Results!$H$3:$H$102),"-")</f>
        <v/>
      </c>
      <c r="C10" s="39">
        <f>IFERROR(AVERAGE(Results!$K$3:$K$102),"-")</f>
        <v/>
      </c>
      <c r="D10" s="39">
        <f>IFERROR(AVERAGE(Results!$N$3:$N$102),"-")</f>
        <v/>
      </c>
      <c r="E10" s="39">
        <f>IF($D$4=0,"-",IFERROR(D10-C10,"-"))</f>
        <v/>
      </c>
    </row>
    <row r="12" ht="15" customHeight="1" s="23">
      <c r="A12" s="26" t="inlineStr">
        <is>
          <t>Judge check (Fable vs human, Qwen base)</t>
        </is>
      </c>
    </row>
    <row r="13" ht="15" customHeight="1" s="23">
      <c r="A13" s="25" t="inlineStr">
        <is>
          <t>Rows human-scored</t>
        </is>
      </c>
      <c r="B13" s="25">
        <f>SUMPRODUCT((Results!$O$3:$O$102="Y")*ISNUMBER(Results!$P$3:$P$102))</f>
        <v/>
      </c>
    </row>
    <row r="14" ht="15" customHeight="1" s="23">
      <c r="A14" s="25" t="inlineStr">
        <is>
          <t>Mean |Fable - human| fidelity gap</t>
        </is>
      </c>
      <c r="B14" s="41">
        <f>IFERROR(SUMPRODUCT((Results!$O$3:$O$102="Y")*ISNUMBER(Results!$P$3:$P$102)*ABS(Results!$K$3:$K$102-Results!$P$3:$P$102))/B13,"-")</f>
        <v/>
      </c>
    </row>
    <row r="15" ht="15" customHeight="1" s="23">
      <c r="A15" s="25" t="inlineStr">
        <is>
          <t>Share where Fable and human agree exactly</t>
        </is>
      </c>
      <c r="B15" s="42">
        <f>IFERROR(SUMPRODUCT((Results!$O$3:$O$102="Y")*ISNUMBER(Results!$P$3:$P$102)*(Results!$K$3:$K$102=Results!$P$3:$P$102))/B13,"-")</f>
        <v/>
      </c>
    </row>
    <row r="16" ht="15" customHeight="1" s="23">
      <c r="A16" s="43" t="inlineStr">
        <is>
          <t>A gap under about 0.5 suggests Fable's fidelity scores can be trusted; larger gaps mean the rubric or judge prompt needs work.</t>
        </is>
      </c>
    </row>
    <row r="18" ht="15" customHeight="1" s="23">
      <c r="A18" s="26" t="inlineStr">
        <is>
          <t>Errors by template (Qwen base vs tuned)</t>
        </is>
      </c>
    </row>
    <row r="19" ht="15" customHeight="1" s="23">
      <c r="A19" s="28" t="inlineStr">
        <is>
          <t>Template</t>
        </is>
      </c>
      <c r="B19" s="28" t="inlineStr">
        <is>
          <t>Qwen base errors</t>
        </is>
      </c>
      <c r="C19" s="28" t="inlineStr">
        <is>
          <t>Qwen tuned errors</t>
        </is>
      </c>
      <c r="D19" s="28" t="inlineStr">
        <is>
          <t>Qwen base avg fidelity</t>
        </is>
      </c>
      <c r="E19" s="28" t="inlineStr">
        <is>
          <t>Qwen tuned avg fidelity</t>
        </is>
      </c>
    </row>
    <row r="20" ht="15" customHeight="1" s="23">
      <c r="A20" s="25">
        <f>Results!A3</f>
        <v/>
      </c>
      <c r="B20" s="38">
        <f>SUM(Results!I3:I12)+SUM(Results!J3:J12)</f>
        <v/>
      </c>
      <c r="C20" s="38">
        <f>SUM(Results!L3:L12)+SUM(Results!M3:M12)</f>
        <v/>
      </c>
      <c r="D20" s="39">
        <f>IFERROR(AVERAGE(Results!K3:K12),"-")</f>
        <v/>
      </c>
      <c r="E20" s="39">
        <f>IFERROR(AVERAGE(Results!N3:N12),"-")</f>
        <v/>
      </c>
    </row>
    <row r="21" ht="15" customHeight="1" s="23">
      <c r="A21" s="25">
        <f>Results!A13</f>
        <v/>
      </c>
      <c r="B21" s="38">
        <f>SUM(Results!I13:I22)+SUM(Results!J13:J22)</f>
        <v/>
      </c>
      <c r="C21" s="38">
        <f>SUM(Results!L13:L22)+SUM(Results!M13:M22)</f>
        <v/>
      </c>
      <c r="D21" s="39">
        <f>IFERROR(AVERAGE(Results!K13:K22),"-")</f>
        <v/>
      </c>
      <c r="E21" s="39">
        <f>IFERROR(AVERAGE(Results!N13:N22),"-")</f>
        <v/>
      </c>
    </row>
    <row r="22" ht="15" customHeight="1" s="23">
      <c r="A22" s="25">
        <f>Results!A23</f>
        <v/>
      </c>
      <c r="B22" s="38">
        <f>SUM(Results!I23:I32)+SUM(Results!J23:J32)</f>
        <v/>
      </c>
      <c r="C22" s="38">
        <f>SUM(Results!L23:L32)+SUM(Results!M23:M32)</f>
        <v/>
      </c>
      <c r="D22" s="39">
        <f>IFERROR(AVERAGE(Results!K23:K32),"-")</f>
        <v/>
      </c>
      <c r="E22" s="39">
        <f>IFERROR(AVERAGE(Results!N23:N32),"-")</f>
        <v/>
      </c>
    </row>
    <row r="23" ht="15" customHeight="1" s="23">
      <c r="A23" s="25">
        <f>Results!A33</f>
        <v/>
      </c>
      <c r="B23" s="38">
        <f>SUM(Results!I33:I42)+SUM(Results!J33:J42)</f>
        <v/>
      </c>
      <c r="C23" s="38">
        <f>SUM(Results!L33:L42)+SUM(Results!M33:M42)</f>
        <v/>
      </c>
      <c r="D23" s="39">
        <f>IFERROR(AVERAGE(Results!K33:K42),"-")</f>
        <v/>
      </c>
      <c r="E23" s="39">
        <f>IFERROR(AVERAGE(Results!N33:N42),"-")</f>
        <v/>
      </c>
    </row>
    <row r="24" ht="15" customHeight="1" s="23">
      <c r="A24" s="25">
        <f>Results!A43</f>
        <v/>
      </c>
      <c r="B24" s="38">
        <f>SUM(Results!I43:I52)+SUM(Results!J43:J52)</f>
        <v/>
      </c>
      <c r="C24" s="38">
        <f>SUM(Results!L43:L52)+SUM(Results!M43:M52)</f>
        <v/>
      </c>
      <c r="D24" s="39">
        <f>IFERROR(AVERAGE(Results!K43:K52),"-")</f>
        <v/>
      </c>
      <c r="E24" s="39">
        <f>IFERROR(AVERAGE(Results!N43:N52),"-")</f>
        <v/>
      </c>
    </row>
    <row r="25" ht="15" customHeight="1" s="23">
      <c r="A25" s="25">
        <f>Results!A53</f>
        <v/>
      </c>
      <c r="B25" s="38">
        <f>SUM(Results!I53:I62)+SUM(Results!J53:J62)</f>
        <v/>
      </c>
      <c r="C25" s="38">
        <f>SUM(Results!L53:L62)+SUM(Results!M53:M62)</f>
        <v/>
      </c>
      <c r="D25" s="39">
        <f>IFERROR(AVERAGE(Results!K53:K62),"-")</f>
        <v/>
      </c>
      <c r="E25" s="39">
        <f>IFERROR(AVERAGE(Results!N53:N62),"-")</f>
        <v/>
      </c>
    </row>
    <row r="26" ht="15" customHeight="1" s="23">
      <c r="A26" s="25">
        <f>Results!A63</f>
        <v/>
      </c>
      <c r="B26" s="38">
        <f>SUM(Results!I63:I72)+SUM(Results!J63:J72)</f>
        <v/>
      </c>
      <c r="C26" s="38">
        <f>SUM(Results!L63:L72)+SUM(Results!M63:M72)</f>
        <v/>
      </c>
      <c r="D26" s="39">
        <f>IFERROR(AVERAGE(Results!K63:K72),"-")</f>
        <v/>
      </c>
      <c r="E26" s="39">
        <f>IFERROR(AVERAGE(Results!N63:N72),"-")</f>
        <v/>
      </c>
    </row>
    <row r="27" ht="15" customHeight="1" s="23">
      <c r="A27" s="25">
        <f>Results!A73</f>
        <v/>
      </c>
      <c r="B27" s="38">
        <f>SUM(Results!I73:I82)+SUM(Results!J73:J82)</f>
        <v/>
      </c>
      <c r="C27" s="38">
        <f>SUM(Results!L73:L82)+SUM(Results!M73:M82)</f>
        <v/>
      </c>
      <c r="D27" s="39">
        <f>IFERROR(AVERAGE(Results!K73:K82),"-")</f>
        <v/>
      </c>
      <c r="E27" s="39">
        <f>IFERROR(AVERAGE(Results!N73:N82),"-")</f>
        <v/>
      </c>
    </row>
    <row r="28" ht="15" customHeight="1" s="23">
      <c r="A28" s="25">
        <f>Results!A83</f>
        <v/>
      </c>
      <c r="B28" s="38">
        <f>SUM(Results!I83:I92)+SUM(Results!J83:J92)</f>
        <v/>
      </c>
      <c r="C28" s="38">
        <f>SUM(Results!L83:L92)+SUM(Results!M83:M92)</f>
        <v/>
      </c>
      <c r="D28" s="39">
        <f>IFERROR(AVERAGE(Results!K83:K92),"-")</f>
        <v/>
      </c>
      <c r="E28" s="39">
        <f>IFERROR(AVERAGE(Results!N83:N92),"-")</f>
        <v/>
      </c>
    </row>
    <row r="29" ht="15" customHeight="1" s="23">
      <c r="A29" s="25">
        <f>Results!A93</f>
        <v/>
      </c>
      <c r="B29" s="38">
        <f>SUM(Results!I93:I102)+SUM(Results!J93:J102)</f>
        <v/>
      </c>
      <c r="C29" s="38">
        <f>SUM(Results!L93:L102)+SUM(Results!M93:M102)</f>
        <v/>
      </c>
      <c r="D29" s="39">
        <f>IFERROR(AVERAGE(Results!K93:K102),"-")</f>
        <v/>
      </c>
      <c r="E29" s="39">
        <f>IFERROR(AVERAGE(Results!N93:N102),"-")</f>
        <v/>
      </c>
    </row>
    <row r="31" ht="15" customHeight="1" s="23">
      <c r="A31" s="26" t="inlineStr">
        <is>
          <t>Errors by customer segment (Qwen base vs tuned)</t>
        </is>
      </c>
    </row>
    <row r="32" ht="15" customHeight="1" s="23">
      <c r="A32" s="28" t="inlineStr">
        <is>
          <t>Group</t>
        </is>
      </c>
      <c r="B32" s="28" t="inlineStr">
        <is>
          <t>Qwen base errors</t>
        </is>
      </c>
      <c r="C32" s="28" t="inlineStr">
        <is>
          <t>Qwen tuned errors</t>
        </is>
      </c>
      <c r="D32" s="28" t="inlineStr">
        <is>
          <t>Qwen base avg fidelity</t>
        </is>
      </c>
      <c r="E32" s="28" t="inlineStr">
        <is>
          <t>Qwen tuned avg fidelity</t>
        </is>
      </c>
    </row>
    <row r="33" ht="15" customHeight="1" s="23">
      <c r="A33" s="25" t="inlineStr">
        <is>
          <t>individual</t>
        </is>
      </c>
      <c r="B33" s="38">
        <f>SUMIFS(Results!$I$3:$I$102,Results!$C$3:$C$102,"individual")+SUMIFS(Results!$J$3:$J$102,Results!$C$3:$C$102,"individual")</f>
        <v/>
      </c>
      <c r="C33" s="38">
        <f>SUMIFS(Results!$L$3:$L$102,Results!$C$3:$C$102,"individual")+SUMIFS(Results!$M$3:$M$102,Results!$C$3:$C$102,"individual")</f>
        <v/>
      </c>
      <c r="D33" s="39">
        <f>IFERROR(AVERAGEIFS(Results!$K$3:$K$102,Results!$C$3:$C$102,"individual"),"-")</f>
        <v/>
      </c>
      <c r="E33" s="39">
        <f>IFERROR(AVERAGEIFS(Results!$N$3:$N$102,Results!$C$3:$C$102,"individual"),"-")</f>
        <v/>
      </c>
    </row>
    <row r="34" ht="15" customHeight="1" s="23">
      <c r="A34" s="25" t="inlineStr">
        <is>
          <t>startup</t>
        </is>
      </c>
      <c r="B34" s="38">
        <f>SUMIFS(Results!$I$3:$I$102,Results!$C$3:$C$102,"startup")+SUMIFS(Results!$J$3:$J$102,Results!$C$3:$C$102,"startup")</f>
        <v/>
      </c>
      <c r="C34" s="38">
        <f>SUMIFS(Results!$L$3:$L$102,Results!$C$3:$C$102,"startup")+SUMIFS(Results!$M$3:$M$102,Results!$C$3:$C$102,"startup")</f>
        <v/>
      </c>
      <c r="D34" s="39">
        <f>IFERROR(AVERAGEIFS(Results!$K$3:$K$102,Results!$C$3:$C$102,"startup"),"-")</f>
        <v/>
      </c>
      <c r="E34" s="39">
        <f>IFERROR(AVERAGEIFS(Results!$N$3:$N$102,Results!$C$3:$C$102,"startup"),"-")</f>
        <v/>
      </c>
    </row>
    <row r="35" ht="15" customHeight="1" s="23">
      <c r="A35" s="25" t="inlineStr">
        <is>
          <t>institutional</t>
        </is>
      </c>
      <c r="B35" s="38">
        <f>SUMIFS(Results!$I$3:$I$102,Results!$C$3:$C$102,"institutional")+SUMIFS(Results!$J$3:$J$102,Results!$C$3:$C$102,"institutional")</f>
        <v/>
      </c>
      <c r="C35" s="38">
        <f>SUMIFS(Results!$L$3:$L$102,Results!$C$3:$C$102,"institutional")+SUMIFS(Results!$M$3:$M$102,Results!$C$3:$C$102,"institutional")</f>
        <v/>
      </c>
      <c r="D35" s="39">
        <f>IFERROR(AVERAGEIFS(Results!$K$3:$K$102,Results!$C$3:$C$102,"institutional"),"-")</f>
        <v/>
      </c>
      <c r="E35" s="39">
        <f>IFERROR(AVERAGEIFS(Results!$N$3:$N$102,Results!$C$3:$C$102,"institutional"),"-")</f>
        <v/>
      </c>
    </row>
    <row r="36" ht="15" customHeight="1" s="23">
      <c r="A36" s="25" t="inlineStr">
        <is>
          <t>reference</t>
        </is>
      </c>
      <c r="B36" s="38">
        <f>SUMIFS(Results!$I$3:$I$102,Results!$C$3:$C$102,"reference")+SUMIFS(Results!$J$3:$J$102,Results!$C$3:$C$102,"reference")</f>
        <v/>
      </c>
      <c r="C36" s="38">
        <f>SUMIFS(Results!$L$3:$L$102,Results!$C$3:$C$102,"reference")+SUMIFS(Results!$M$3:$M$102,Results!$C$3:$C$102,"reference")</f>
        <v/>
      </c>
      <c r="D36" s="39">
        <f>IFERROR(AVERAGEIFS(Results!$K$3:$K$102,Results!$C$3:$C$102,"reference"),"-")</f>
        <v/>
      </c>
      <c r="E36" s="39">
        <f>IFERROR(AVERAGEIFS(Results!$N$3:$N$102,Results!$C$3:$C$102,"reference"),"-")</f>
        <v/>
      </c>
    </row>
    <row r="38" ht="15" customHeight="1" s="23">
      <c r="A38" s="26" t="inlineStr">
        <is>
          <t>Errors by prompt specificity (Qwen base vs tuned)</t>
        </is>
      </c>
    </row>
    <row r="39" ht="15" customHeight="1" s="23">
      <c r="A39" s="28" t="inlineStr">
        <is>
          <t>Group</t>
        </is>
      </c>
      <c r="B39" s="28" t="inlineStr">
        <is>
          <t>Qwen base errors</t>
        </is>
      </c>
      <c r="C39" s="28" t="inlineStr">
        <is>
          <t>Qwen tuned errors</t>
        </is>
      </c>
      <c r="D39" s="28" t="inlineStr">
        <is>
          <t>Qwen base avg fidelity</t>
        </is>
      </c>
      <c r="E39" s="28" t="inlineStr">
        <is>
          <t>Qwen tuned avg fidelity</t>
        </is>
      </c>
    </row>
    <row r="40" ht="15" customHeight="1" s="23">
      <c r="A40" s="25" t="inlineStr">
        <is>
          <t>vague</t>
        </is>
      </c>
      <c r="B40" s="38">
        <f>SUMIFS(Results!$I$3:$I$102,Results!$D$3:$D$102,"vague")+SUMIFS(Results!$J$3:$J$102,Results!$D$3:$D$102,"vague")</f>
        <v/>
      </c>
      <c r="C40" s="38">
        <f>SUMIFS(Results!$L$3:$L$102,Results!$D$3:$D$102,"vague")+SUMIFS(Results!$M$3:$M$102,Results!$D$3:$D$102,"vague")</f>
        <v/>
      </c>
      <c r="D40" s="39">
        <f>IFERROR(AVERAGEIFS(Results!$K$3:$K$102,Results!$D$3:$D$102,"vague"),"-")</f>
        <v/>
      </c>
      <c r="E40" s="39">
        <f>IFERROR(AVERAGEIFS(Results!$N$3:$N$102,Results!$D$3:$D$102,"vague"),"-")</f>
        <v/>
      </c>
    </row>
    <row r="41" ht="15" customHeight="1" s="23">
      <c r="A41" s="25" t="inlineStr">
        <is>
          <t>precise</t>
        </is>
      </c>
      <c r="B41" s="38">
        <f>SUMIFS(Results!$I$3:$I$102,Results!$D$3:$D$102,"precise")+SUMIFS(Results!$J$3:$J$102,Results!$D$3:$D$102,"precise")</f>
        <v/>
      </c>
      <c r="C41" s="38">
        <f>SUMIFS(Results!$L$3:$L$102,Results!$D$3:$D$102,"precise")+SUMIFS(Results!$M$3:$M$102,Results!$D$3:$D$102,"precise")</f>
        <v/>
      </c>
      <c r="D41" s="39">
        <f>IFERROR(AVERAGEIFS(Results!$K$3:$K$102,Results!$D$3:$D$102,"precise"),"-")</f>
        <v/>
      </c>
      <c r="E41" s="39">
        <f>IFERROR(AVERAGEIFS(Results!$N$3:$N$102,Results!$D$3:$D$102,"precise"),"-")</f>
        <v/>
      </c>
    </row>
    <row r="42" ht="15" customHeight="1" s="23">
      <c r="A42" s="25" t="inlineStr">
        <is>
          <t>over_specified</t>
        </is>
      </c>
      <c r="B42" s="38">
        <f>SUMIFS(Results!$I$3:$I$102,Results!$D$3:$D$102,"over_specified")+SUMIFS(Results!$J$3:$J$102,Results!$D$3:$D$102,"over_specified")</f>
        <v/>
      </c>
      <c r="C42" s="38">
        <f>SUMIFS(Results!$L$3:$L$102,Results!$D$3:$D$102,"over_specified")+SUMIFS(Results!$M$3:$M$102,Results!$D$3:$D$102,"over_specified")</f>
        <v/>
      </c>
      <c r="D42" s="39">
        <f>IFERROR(AVERAGEIFS(Results!$K$3:$K$102,Results!$D$3:$D$102,"over_specified"),"-")</f>
        <v/>
      </c>
      <c r="E42" s="39">
        <f>IFERROR(AVERAGEIFS(Results!$N$3:$N$102,Results!$D$3:$D$102,"over_specified"),"-")</f>
        <v/>
      </c>
    </row>
    <row r="43" ht="15" customHeight="1" s="23">
      <c r="A43" s="25" t="inlineStr">
        <is>
          <t>ceiling</t>
        </is>
      </c>
      <c r="B43" s="38">
        <f>SUMIFS(Results!$I$3:$I$102,Results!$D$3:$D$102,"ceiling")+SUMIFS(Results!$J$3:$J$102,Results!$D$3:$D$102,"ceiling")</f>
        <v/>
      </c>
      <c r="C43" s="38">
        <f>SUMIFS(Results!$L$3:$L$102,Results!$D$3:$D$102,"ceiling")+SUMIFS(Results!$M$3:$M$102,Results!$D$3:$D$102,"ceiling")</f>
        <v/>
      </c>
      <c r="D43" s="39">
        <f>IFERROR(AVERAGEIFS(Results!$K$3:$K$102,Results!$D$3:$D$102,"ceiling"),"-")</f>
        <v/>
      </c>
      <c r="E43" s="39">
        <f>IFERROR(AVERAGEIFS(Results!$N$3:$N$102,Results!$D$3:$D$102,"ceiling"),"-")</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2026-10-15T23:15:59Z</dcterms:created>
  <dcterms:modified xmlns:dcterms="http://purl.org/dc/terms/" xmlns:xsi="http://www.w3.org/2001/XMLSchema-instance" xsi:type="dcterms:W3CDTF">2026-10-19T01:10:48Z</dcterms:modified>
  <cp:revision>0</cp:revision>
</cp:coreProperties>
</file>