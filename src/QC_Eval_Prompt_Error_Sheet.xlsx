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d7065c9c58420c" /></Relationships>
</file>

<file path=xl/workbook.xml><?xml version="1.0" encoding="utf-8"?>
<x:workbook xmlns:x="http://schemas.openxmlformats.org/spreadsheetml/2006/main">
  <x:sheets>
    <x:sheet xmlns:r="http://schemas.openxmlformats.org/officeDocument/2006/relationships" name="Legend" sheetId="1" r:id="Raedba1db39e84972"/>
    <x:sheet xmlns:r="http://schemas.openxmlformats.org/officeDocument/2006/relationships" name="Results" sheetId="2" r:id="R717fef9084e247e2"/>
    <x:sheet xmlns:r="http://schemas.openxmlformats.org/officeDocument/2006/relationships" name="Summary" sheetId="3" r:id="R036255043cd54730"/>
    <x:sheet xmlns:r="http://schemas.openxmlformats.org/officeDocument/2006/relationships" name="QC Feedback" sheetId="4" r:id="R1590d1679f554232"/>
    <x:sheet xmlns:r="http://schemas.openxmlformats.org/officeDocument/2006/relationships" name="Judge Details" sheetId="5" r:id="Ra38a9d17b17a4d5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0.0%"/>
    <x:numFmt numFmtId="200" formatCode="0.000"/>
    <x:numFmt numFmtId="201" formatCode="#,##0.0"/>
    <x:numFmt numFmtId="202" formatCode="0.000000"/>
    <x:numFmt numFmtId="203" formatCode="0.00"/>
  </x:numFmts>
  <x:fonts count="14">
    <x:font>
      <x:sz val="11"/>
      <x:color theme="1"/>
      <x:name val="Calibri"/>
      <x:family val="2"/>
    </x:font>
    <x:font>
      <x:sz val="10"/>
      <x:name val="Arial"/>
    </x:font>
    <x:font>
      <x:sz val="10"/>
      <x:name val="Arial"/>
    </x:font>
    <x:font>
      <x:sz val="10"/>
      <x:name val="Arial"/>
    </x:font>
    <x:font>
      <x:b/>
      <x:sz val="14"/>
      <x:name val="Arial"/>
    </x:font>
    <x:font>
      <x:sz val="10"/>
      <x:name val="Arial"/>
    </x:font>
    <x:font>
      <x:b/>
      <x:sz val="10"/>
      <x:name val="Arial"/>
    </x:font>
    <x:font>
      <x:b/>
      <x:sz val="10"/>
      <x:color rgb="FFFFFFFF"/>
      <x:name val="Arial"/>
    </x:font>
    <x:font>
      <x:i/>
      <x:sz val="10"/>
      <x:color rgb="FF7F7F7F"/>
      <x:name val="Arial"/>
    </x:font>
    <x:font>
      <x:b/>
      <x:sz val="10"/>
      <x:color theme="1"/>
      <x:name val="Arial"/>
      <x:family val="2"/>
    </x:font>
    <x:font>
      <x:sz val="11"/>
      <x:color theme="1"/>
      <x:name val="Arial"/>
      <x:family val="2"/>
    </x:font>
    <x:font>
      <x:b/>
      <x:sz val="14"/>
      <x:color theme="1"/>
      <x:name val="Arial"/>
      <x:family val="2"/>
    </x:font>
    <x:font>
      <x:b/>
      <x:sz val="10"/>
      <x:color rgb="FFFFFFFF"/>
      <x:name val="Arial"/>
      <x:family val="2"/>
    </x:font>
    <x:font>
      <x:sz val="10"/>
      <x:color theme="1"/>
      <x:name val="Arial"/>
      <x:family val="2"/>
    </x:font>
  </x:fonts>
  <x:fills count="14">
    <x:fill>
      <x:patternFill patternType="none"/>
    </x:fill>
    <x:fill>
      <x:patternFill patternType="gray125"/>
    </x:fill>
    <x:fill>
      <x:patternFill patternType="solid">
        <x:fgColor rgb="FF1F3A5F"/>
      </x:patternFill>
    </x:fill>
    <x:fill>
      <x:patternFill patternType="solid">
        <x:fgColor rgb="FFD9D9D9"/>
      </x:patternFill>
    </x:fill>
    <x:fill>
      <x:patternFill patternType="solid">
        <x:fgColor rgb="FFD9E2F3"/>
      </x:patternFill>
    </x:fill>
    <x:fill>
      <x:patternFill patternType="solid">
        <x:fgColor rgb="FFE2EFDA"/>
      </x:patternFill>
    </x:fill>
    <x:fill>
      <x:patternFill patternType="solid">
        <x:fgColor rgb="FFFFF2CC"/>
      </x:patternFill>
    </x:fill>
    <x:fill>
      <x:patternFill patternType="solid">
        <x:fgColor rgb="FFFCE4D6"/>
      </x:patternFill>
    </x:fill>
    <x:fill>
      <x:patternFill patternType="solid">
        <x:fgColor rgb="FFFFFF00"/>
      </x:patternFill>
    </x:fill>
    <x:fill>
      <x:patternFill patternType="solid">
        <x:fgColor rgb="FFF2F2F2"/>
      </x:patternFill>
    </x:fill>
    <x:fill>
      <x:patternFill patternType="solid">
        <x:fgColor rgb="FF1F3A5F"/>
      </x:patternFill>
    </x:fill>
    <x:fill>
      <x:patternFill patternType="solid">
        <x:fgColor rgb="FF1F3A5F"/>
      </x:patternFill>
    </x:fill>
    <x:fill>
      <x:patternFill patternType="solid">
        <x:fgColor rgb="FF1F3A5F"/>
      </x:patternFill>
    </x:fill>
    <x:fill>
      <x:patternFill patternType="solid">
        <x:fgColor rgb="FF1F3A5F"/>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86">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5" fillId="0" borderId="0" xfId="0" applyAlignment="1">
      <x:alignment horizontal="general" vertical="top" wrapText="1"/>
    </x:xf>
    <x:xf numFmtId="0" fontId="7" fillId="2" borderId="0" xfId="0" applyAlignment="1">
      <x:alignment horizontal="center" vertical="center" wrapText="1"/>
    </x:xf>
    <x:xf numFmtId="0" fontId="7" fillId="2" borderId="0" xfId="0" applyAlignment="1">
      <x:alignment horizontal="center" vertical="center" wrapText="1"/>
    </x:xf>
    <x:xf numFmtId="0" fontId="6" fillId="3" borderId="1" xfId="0" applyAlignment="1">
      <x:alignment horizontal="center" vertical="center" wrapText="1"/>
    </x:xf>
    <x:xf numFmtId="0" fontId="6" fillId="4" borderId="1" xfId="0" applyAlignment="1">
      <x:alignment horizontal="center" vertical="center" wrapText="1"/>
    </x:xf>
    <x:xf numFmtId="0" fontId="6" fillId="5" borderId="1" xfId="0" applyAlignment="1">
      <x:alignment horizontal="center" vertical="center" wrapText="1"/>
    </x:xf>
    <x:xf numFmtId="0" fontId="6" fillId="6" borderId="1" xfId="0" applyAlignment="1">
      <x:alignment horizontal="center" vertical="center" wrapText="1"/>
    </x:xf>
    <x:xf numFmtId="0" fontId="6" fillId="7" borderId="1" xfId="0" applyAlignment="1">
      <x:alignment horizontal="center" vertical="center" wrapText="1"/>
    </x:xf>
    <x:xf numFmtId="0" fontId="5" fillId="0" borderId="1" xfId="0" applyAlignment="1">
      <x:alignment horizontal="center" vertical="center" wrapText="1"/>
    </x:xf>
    <x:xf numFmtId="0" fontId="5" fillId="0" borderId="1" xfId="0" applyAlignment="1">
      <x:alignment horizontal="general" vertical="top" wrapText="1"/>
    </x:xf>
    <x:xf numFmtId="0" fontId="5" fillId="8" borderId="1" xfId="0" applyAlignment="1">
      <x:alignment horizontal="center" vertical="center" wrapText="1"/>
    </x:xf>
    <x:xf numFmtId="0" fontId="5" fillId="9" borderId="1" xfId="0" applyAlignment="1">
      <x:alignment horizontal="center" vertical="center" wrapText="1"/>
    </x:xf>
    <x:xf numFmtId="1" fontId="5" fillId="0" borderId="0" xfId="0" applyAlignment="1">
      <x:alignment horizontal="center" vertical="center" wrapText="1"/>
    </x:xf>
    <x:xf numFmtId="2" fontId="5" fillId="0" borderId="0" xfId="0" applyAlignment="1">
      <x:alignment horizontal="center" vertical="center" wrapText="1"/>
    </x:xf>
    <x:xf numFmtId="164" fontId="5" fillId="0" borderId="0" xfId="0" applyAlignment="1">
      <x:alignment horizontal="center" vertical="center" wrapText="1"/>
    </x:xf>
    <x:xf numFmtId="2" fontId="5" fillId="0" borderId="0" xfId="0" applyAlignment="1">
      <x:alignment horizontal="general" vertical="bottom"/>
    </x:xf>
    <x:xf numFmtId="164" fontId="5" fillId="0" borderId="0" xfId="0" applyAlignment="1">
      <x:alignment horizontal="general" vertical="bottom"/>
    </x:xf>
    <x:xf numFmtId="0" fontId="8" fillId="0" borderId="0" xfId="0" applyAlignment="1">
      <x:alignment horizontal="general" vertical="bottom"/>
    </x:xf>
    <x:xf numFmtId="0" fontId="0" fillId="0" borderId="0" xfId="0" applyAlignment="1">
      <x:alignment horizontal="general" vertical="bottom"/>
    </x:xf>
    <x:xf numFmtId="0" fontId="0" fillId="0" borderId="0" xfId="0"/>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5" fillId="0" borderId="0" xfId="0" applyAlignment="1">
      <x:alignment horizontal="general" vertical="top" wrapText="1"/>
    </x:xf>
    <x:xf numFmtId="0" fontId="7" fillId="2" borderId="0" xfId="0" applyAlignment="1">
      <x:alignment horizontal="center" vertical="center" wrapText="1"/>
    </x:xf>
    <x:xf numFmtId="0" fontId="6" fillId="3" borderId="1" xfId="0" applyAlignment="1">
      <x:alignment horizontal="center" vertical="center" wrapText="1"/>
    </x:xf>
    <x:xf numFmtId="0" fontId="6" fillId="4" borderId="1" xfId="0" applyAlignment="1">
      <x:alignment horizontal="center" vertical="center" wrapText="1"/>
    </x:xf>
    <x:xf numFmtId="0" fontId="6" fillId="5" borderId="1" xfId="0" applyAlignment="1">
      <x:alignment horizontal="center" vertical="center" wrapText="1"/>
    </x:xf>
    <x:xf numFmtId="0" fontId="6" fillId="6" borderId="1" xfId="0" applyAlignment="1">
      <x:alignment horizontal="center" vertical="center" wrapText="1"/>
    </x:xf>
    <x:xf numFmtId="0" fontId="6" fillId="7" borderId="1" xfId="0" applyAlignment="1">
      <x:alignment horizontal="center" vertical="center" wrapText="1"/>
    </x:xf>
    <x:xf numFmtId="0" fontId="5" fillId="0" borderId="1" xfId="0" applyAlignment="1">
      <x:alignment horizontal="center" vertical="center" wrapText="1"/>
    </x:xf>
    <x:xf numFmtId="0" fontId="5" fillId="0" borderId="1" xfId="0" applyAlignment="1">
      <x:alignment horizontal="general" vertical="top" wrapText="1"/>
    </x:xf>
    <x:xf numFmtId="0" fontId="5" fillId="8" borderId="1" xfId="0" applyAlignment="1">
      <x:alignment horizontal="center" vertical="center" wrapText="1"/>
    </x:xf>
    <x:xf numFmtId="0" fontId="5" fillId="9" borderId="1" xfId="0" applyAlignment="1">
      <x:alignment horizontal="center" vertical="center" wrapText="1"/>
    </x:xf>
    <x:xf numFmtId="1" fontId="5" fillId="0" borderId="0" xfId="0" applyAlignment="1">
      <x:alignment horizontal="center" vertical="center" wrapText="1"/>
    </x:xf>
    <x:xf numFmtId="2" fontId="5" fillId="0" borderId="0" xfId="0" applyAlignment="1">
      <x:alignment horizontal="center" vertical="center" wrapText="1"/>
    </x:xf>
    <x:xf numFmtId="164" fontId="5" fillId="0" borderId="0" xfId="0" applyAlignment="1">
      <x:alignment horizontal="center" vertical="center" wrapText="1"/>
    </x:xf>
    <x:xf numFmtId="2" fontId="5" fillId="0" borderId="0" xfId="0" applyAlignment="1">
      <x:alignment horizontal="general" vertical="bottom"/>
    </x:xf>
    <x:xf numFmtId="164" fontId="5" fillId="0" borderId="0" xfId="0" applyAlignment="1">
      <x:alignment horizontal="general" vertical="bottom"/>
    </x:xf>
    <x:xf numFmtId="0" fontId="8" fillId="0" borderId="0" xfId="0" applyAlignment="1">
      <x:alignment horizontal="general" vertical="bottom"/>
    </x:xf>
    <x:xf numFmtId="0" fontId="1" fillId="0" borderId="1" xfId="0" applyNumberFormat="1" applyFont="1" applyFill="1" applyBorder="1" applyAlignment="1">
      <x:alignment horizontal="general" vertical="top" wrapText="1"/>
    </x:xf>
    <x:xf numFmtId="0" fontId="1" fillId="0" borderId="0" xfId="0" applyNumberFormat="1" applyFont="1" applyFill="1" applyBorder="1" applyAlignment="1">
      <x:alignment horizontal="general" vertical="top" wrapText="1"/>
    </x:xf>
    <x:xf numFmtId="0" fontId="9" fillId="0" borderId="0" xfId="0" applyNumberFormat="1" applyFont="1" applyFill="1" applyBorder="1" applyAlignment="1">
      <x:alignment horizontal="general" vertical="bottom"/>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general" vertical="bottom" wrapText="1"/>
    </x:xf>
    <x:xf numFmtId="0" fontId="10" fillId="0" borderId="0" xfId="0" applyNumberFormat="1" applyFont="1" applyFill="1" applyBorder="1" applyAlignment="1">
      <x:alignment horizontal="general" vertical="bottom" wrapText="1"/>
    </x:xf>
    <x:xf numFmtId="0" fontId="11" fillId="0" borderId="0" xfId="0" applyNumberFormat="1" applyFont="1" applyFill="1" applyBorder="1" applyAlignment="1">
      <x:alignment horizontal="general" vertical="bottom"/>
    </x:xf>
    <x:xf numFmtId="0" fontId="0" fillId="10" borderId="0" xfId="0" applyNumberFormat="1" applyFont="1" applyFill="1" applyBorder="1" applyAlignment="1">
      <x:alignment horizontal="general" vertical="bottom"/>
    </x:xf>
    <x:xf numFmtId="0" fontId="12" fillId="10" borderId="0" xfId="0" applyNumberFormat="1" applyFont="1" applyFill="1" applyBorder="1" applyAlignment="1">
      <x:alignment horizontal="general" vertical="bottom"/>
    </x:xf>
    <x:xf numFmtId="0" fontId="12" fillId="10" borderId="0" xfId="0" applyNumberFormat="1" applyFont="1" applyFill="1" applyBorder="1" applyAlignment="1">
      <x:alignment horizontal="general" vertical="bottom" wrapText="1"/>
    </x:xf>
    <x:xf numFmtId="0" fontId="12" fillId="10" borderId="0" xfId="0" applyNumberFormat="1" applyFont="1" applyFill="1" applyBorder="1" applyAlignment="1">
      <x:alignment horizontal="center" vertical="bottom" wrapText="1"/>
    </x:xf>
    <x:xf numFmtId="0" fontId="12" fillId="10" borderId="0" xfId="0" applyNumberFormat="1" applyFont="1" applyFill="1" applyBorder="1" applyAlignment="1">
      <x:alignment horizontal="center" vertical="center" wrapText="1"/>
    </x:xf>
    <x:xf numFmtId="0" fontId="10" fillId="0" borderId="0" xfId="0" applyNumberFormat="1" applyFont="1" applyFill="1" applyBorder="1" applyAlignment="1">
      <x:alignment horizontal="general" vertical="bottom"/>
    </x:xf>
    <x:xf numFmtId="0" fontId="10" fillId="0" borderId="0" xfId="0" applyNumberFormat="1" applyFont="1" applyFill="1" applyBorder="1" applyAlignment="1">
      <x:alignment horizontal="general" vertical="top" wrapText="1"/>
    </x:xf>
    <x:xf numFmtId="200" fontId="10" fillId="0" borderId="0" xfId="0" applyNumberFormat="1" applyFont="1" applyFill="1" applyBorder="1" applyAlignment="1">
      <x:alignment horizontal="general" vertical="bottom" wrapText="1"/>
    </x:xf>
    <x:xf numFmtId="201" fontId="10" fillId="0" borderId="0" xfId="0" applyNumberFormat="1" applyFont="1" applyFill="1" applyBorder="1" applyAlignment="1">
      <x:alignment horizontal="general" vertical="bottom" wrapText="1"/>
    </x:xf>
    <x:xf numFmtId="202" fontId="10" fillId="0" borderId="0" xfId="0" applyNumberFormat="1" applyFont="1" applyFill="1" applyBorder="1" applyAlignment="1">
      <x:alignment horizontal="general" vertical="bottom" wrapText="1"/>
    </x:xf>
    <x:xf numFmtId="164" fontId="10" fillId="0" borderId="0" xfId="0" applyNumberFormat="1" applyFont="1" applyFill="1" applyBorder="1" applyAlignment="1">
      <x:alignment horizontal="general" vertical="bottom" wrapText="1"/>
    </x:xf>
    <x:xf numFmtId="0" fontId="13" fillId="0" borderId="0" xfId="0" applyNumberFormat="1" applyFont="1" applyFill="1" applyBorder="1" applyAlignment="1">
      <x:alignment horizontal="general" vertical="bottom"/>
    </x:xf>
    <x:xf numFmtId="0" fontId="13" fillId="0" borderId="0" xfId="0" applyNumberFormat="1" applyFont="1" applyFill="1" applyBorder="1" applyAlignment="1">
      <x:alignment horizontal="general" vertical="bottom" wrapText="1"/>
    </x:xf>
    <x:xf numFmtId="0" fontId="13" fillId="0" borderId="0" xfId="0" applyNumberFormat="1" applyFont="1" applyFill="1" applyBorder="1" applyAlignment="1">
      <x:alignment horizontal="general" vertical="top" wrapText="1"/>
    </x:xf>
    <x:xf numFmtId="203" fontId="0" fillId="0" borderId="0" xfId="0" applyNumberFormat="1" applyFont="1" applyFill="1" applyBorder="1" applyAlignment="1">
      <x:alignment horizontal="general" vertical="bottom"/>
    </x:xf>
    <x:xf numFmtId="203" fontId="10"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bottom" wrapText="1"/>
    </x:xf>
    <x:xf numFmtId="0" fontId="1" fillId="0" borderId="0" xfId="0" applyNumberFormat="1" applyFont="1" applyFill="1" applyBorder="1" applyAlignment="1">
      <x:alignment horizontal="general" vertical="bottom" wrapText="1"/>
    </x:xf>
    <x:xf numFmtId="0" fontId="8" fillId="0" borderId="0" xfId="0" applyNumberFormat="1" applyFont="1" applyFill="1" applyBorder="1" applyAlignment="1">
      <x:alignment horizontal="general" vertical="bottom" wrapText="1"/>
    </x:xf>
    <x:xf numFmtId="0" fontId="0" fillId="11" borderId="0" xfId="0" applyNumberFormat="1" applyFont="1" applyFill="1" applyBorder="1" applyAlignment="1">
      <x:alignment horizontal="general" vertical="bottom"/>
    </x:xf>
    <x:xf numFmtId="0" fontId="12" fillId="11" borderId="0" xfId="0" applyNumberFormat="1" applyFont="1" applyFill="1" applyBorder="1" applyAlignment="1">
      <x:alignment horizontal="general" vertical="bottom"/>
    </x:xf>
    <x:xf numFmtId="0" fontId="12" fillId="11" borderId="0" xfId="0" applyNumberFormat="1" applyFont="1" applyFill="1" applyBorder="1" applyAlignment="1">
      <x:alignment horizontal="general" vertical="bottom" wrapText="1"/>
    </x:xf>
    <x:xf numFmtId="0" fontId="12" fillId="11" borderId="0" xfId="0" applyNumberFormat="1" applyFont="1" applyFill="1" applyBorder="1" applyAlignment="1">
      <x:alignment horizontal="center" vertical="bottom" wrapText="1"/>
    </x:xf>
    <x:xf numFmtId="0" fontId="12" fillId="11" borderId="0" xfId="0" applyNumberFormat="1" applyFont="1" applyFill="1" applyBorder="1" applyAlignment="1">
      <x:alignment horizontal="center" vertical="center" wrapText="1"/>
    </x:xf>
    <x:xf numFmtId="0" fontId="10" fillId="0" borderId="0" xfId="0" applyNumberFormat="1" applyFont="1" applyFill="1" applyBorder="1" applyAlignment="1">
      <x:alignment horizontal="center" vertical="bottom" wrapText="1"/>
    </x:xf>
    <x:xf numFmtId="0" fontId="0" fillId="12" borderId="0" xfId="0" applyNumberFormat="1" applyFont="1" applyFill="1" applyBorder="1" applyAlignment="1">
      <x:alignment horizontal="general" vertical="bottom"/>
    </x:xf>
    <x:xf numFmtId="0" fontId="12" fillId="12" borderId="0" xfId="0" applyNumberFormat="1" applyFont="1" applyFill="1" applyBorder="1" applyAlignment="1">
      <x:alignment horizontal="general" vertical="bottom"/>
    </x:xf>
    <x:xf numFmtId="0" fontId="12" fillId="12" borderId="0" xfId="0" applyNumberFormat="1" applyFont="1" applyFill="1" applyBorder="1" applyAlignment="1">
      <x:alignment horizontal="general" vertical="bottom" wrapText="1"/>
    </x:xf>
    <x:xf numFmtId="0" fontId="12" fillId="12" borderId="0" xfId="0" applyNumberFormat="1" applyFont="1" applyFill="1" applyBorder="1" applyAlignment="1">
      <x:alignment horizontal="center" vertical="bottom" wrapText="1"/>
    </x:xf>
    <x:xf numFmtId="0" fontId="12"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horizontal="general" vertical="bottom"/>
    </x:xf>
    <x:xf numFmtId="0" fontId="12" fillId="13" borderId="0" xfId="0" applyNumberFormat="1" applyFont="1" applyFill="1" applyBorder="1" applyAlignment="1">
      <x:alignment horizontal="general" vertical="bottom"/>
    </x:xf>
    <x:xf numFmtId="0" fontId="12" fillId="13" borderId="0" xfId="0" applyNumberFormat="1" applyFont="1" applyFill="1" applyBorder="1" applyAlignment="1">
      <x:alignment horizontal="general" vertical="bottom" wrapText="1"/>
    </x:xf>
    <x:xf numFmtId="0" fontId="12" fillId="13" borderId="0" xfId="0" applyNumberFormat="1" applyFont="1" applyFill="1" applyBorder="1" applyAlignment="1">
      <x:alignment horizontal="center" vertical="bottom" wrapText="1"/>
    </x:xf>
    <x:xf numFmtId="0" fontId="12" fillId="13" borderId="0" xfId="0" applyNumberFormat="1" applyFont="1" applyFill="1" applyBorder="1" applyAlignment="1">
      <x:alignment horizontal="center" vertical="center" wrapText="1"/>
    </x:xf>
  </x:cellXfs>
  <x:cellStyles count="6">
    <x:cellStyle name="Normal" xfId="0"/>
    <x:cellStyle name="Comma" xfId="1"/>
    <x:cellStyle name="Comma [0]" xfId="2"/>
    <x:cellStyle name="Currency" xfId="3"/>
    <x:cellStyle name="Currency [0]" xfId="4"/>
    <x:cellStyle name="Percent" xfId="5"/>
  </x:cellStyles>
  <x:dxfs count="4">
    <x:dxf>
      <x:font>
        <x:color rgb="FF9C0006"/>
      </x:font>
      <x:fill>
        <x:patternFill>
          <x:bgColor rgb="FFFCE4D6"/>
        </x:patternFill>
      </x:fill>
    </x:dxf>
    <x:dxf>
      <x:font>
        <x:color rgb="FF9C0006"/>
      </x:font>
      <x:fill>
        <x:patternFill>
          <x:bgColor rgb="FFFCE4D6"/>
        </x:patternFill>
      </x:fill>
    </x:dxf>
    <x:dxf>
      <x:font>
        <x:color rgb="FF9C0006"/>
      </x:font>
      <x:fill>
        <x:patternFill>
          <x:bgColor rgb="FFFCE4D6"/>
        </x:patternFill>
      </x:fill>
    </x:dxf>
    <x:dxf>
      <x:font>
        <x:color rgb="FF9C0006"/>
      </x:font>
      <x:fill>
        <x:patternFill patternType="solid">
          <x:bgColor rgb="FFFCE4D6"/>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7F7F7F"/>
      <x:rgbColor rgb="FF9999FF"/>
      <x:rgbColor rgb="FF993366"/>
      <x:rgbColor rgb="FFFFF2CC"/>
      <x:rgbColor rgb="FFF2F2F2"/>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D9E2F3"/>
      <x:rgbColor rgb="FFE2EFDA"/>
      <x:rgbColor rgb="FFFFFF99"/>
      <x:rgbColor rgb="FF99CCFF"/>
      <x:rgbColor rgb="FFFF99CC"/>
      <x:rgbColor rgb="FFCC99FF"/>
      <x:rgbColor rgb="FFFCE4D6"/>
      <x:rgbColor rgb="FF3366FF"/>
      <x:rgbColor rgb="FF33CCCC"/>
      <x:rgbColor rgb="FF99CC00"/>
      <x:rgbColor rgb="FFFFCC00"/>
      <x:rgbColor rgb="FFFF9900"/>
      <x:rgbColor rgb="FFFF6600"/>
      <x:rgbColor rgb="FF666699"/>
      <x:rgbColor rgb="FF969696"/>
      <x:rgbColor rgb="FF1F3A5F"/>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0b57ee4d464c1f" /><Relationship Type="http://schemas.openxmlformats.org/officeDocument/2006/relationships/theme" Target="/xl/theme/theme1.xml" Id="Rc5a772a1831c47c6" /><Relationship Type="http://schemas.openxmlformats.org/officeDocument/2006/relationships/sharedStrings" Target="/xl/sharedStrings.xml" Id="R1ff4446a2c0d4e6f" /><Relationship Type="http://schemas.openxmlformats.org/officeDocument/2006/relationships/worksheet" Target="/xl/worksheets/sheet1.xml" Id="Raedba1db39e84972" /><Relationship Type="http://schemas.openxmlformats.org/officeDocument/2006/relationships/worksheet" Target="/xl/worksheets/sheet2.xml" Id="R717fef9084e247e2" /><Relationship Type="http://schemas.openxmlformats.org/officeDocument/2006/relationships/worksheet" Target="/xl/worksheets/sheet3.xml" Id="R036255043cd54730" /><Relationship Type="http://schemas.openxmlformats.org/officeDocument/2006/relationships/worksheet" Target="/xl/worksheets/sheet4.xml" Id="R1590d1679f554232" /><Relationship Type="http://schemas.openxmlformats.org/officeDocument/2006/relationships/worksheet" Target="/xl/worksheets/sheet5.xml" Id="Ra38a9d17b17a4d5c"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8" defaultColWidth="8.6796875" defaultRowHeight="15"/>
  <x:cols>
    <x:col min="1" max="1" width="26" style="22" customWidth="1"/>
    <x:col min="2" max="2" width="110" style="22" hidden="0" customWidth="1"/>
  </x:cols>
  <x:sheetData>
    <x:row r="1" s="23" customFormat="1" ht="17.350000381469727" customHeight="1">
      <x:c r="A1" s="24" t="inlineStr">
        <x:is>
          <x:t xml:space="preserve">QuantConnect Fine-Tuning Eval: Prompt x Error Sheet</x:t>
        </x:is>
      </x:c>
    </x:row>
    <x:row r="2" s="23" customFormat="1" ht="15" customHeight="1">
      <x:c r="A2" s="25" t="n"/>
    </x:row>
    <x:row r="3" s="23" customFormat="1" ht="42" customHeight="1">
      <x:c r="A3" s="26" t="inlineStr">
        <x:is>
          <x:t xml:space="preserve">Purpose</x:t>
        </x:is>
      </x:c>
      <x:c r="B3" s="45" t="inlineStr">
        <x:is>
          <x:t xml:space="preserve">Count errors per prompt for Fable (reference), Qwen before fine-tuning and Qwen after fine-tuning, to show error reduction.</x:t>
        </x:is>
      </x:c>
    </x:row>
    <x:row r="4" s="23" customFormat="1" ht="42" customHeight="1">
      <x:c r="A4" s="26" t="inlineStr">
        <x:is>
          <x:t xml:space="preserve">Layout</x:t>
        </x:is>
      </x:c>
      <x:c r="B4" s="45" t="inlineStr">
        <x:is>
          <x:t xml:space="preserve">Results tab: one row per prompt. 10 code templates x 10 prompt versions = 100 rows. Column A is the template file (QuantConnect project-templates repo), included under data/templates/.</x:t>
        </x:is>
      </x:c>
    </x:row>
    <x:row r="5" s="23" customFormat="1" ht="42" customHeight="1">
      <x:c r="A5" s="26" t="inlineStr">
        <x:is>
          <x:t xml:space="preserve">Prompt grid</x:t>
        </x:is>
      </x:c>
      <x:c r="B5" s="45" t="inlineStr">
        <x:is>
          <x:t xml:space="preserve">Versions 1-9 = 3 customer segments x 3 specificity levels. Version 10 = ceiling prompt (near-pseudocode description of the template; every model should score well on it).</x:t>
        </x:is>
      </x:c>
    </x:row>
    <x:row r="6" s="23" customFormat="1" ht="42" customHeight="1">
      <x:c r="A6" s="26" t="inlineStr">
        <x:is>
          <x:t xml:space="preserve">Segments</x:t>
        </x:is>
      </x:c>
      <x:c r="B6" s="45" t="inlineStr">
        <x:is>
          <x:t xml:space="preserve">individual: hobbyist vocabulary, single ticker, no constraints. startup: terse researcher shorthand, in a hurry. institutional: spec-style, mentions risk limits, compliance, matching an internal implementation.</x:t>
        </x:is>
      </x:c>
    </x:row>
    <x:row r="7" s="23" customFormat="1" ht="42" customHeight="1">
      <x:c r="A7" s="26" t="inlineStr">
        <x:is>
          <x:t xml:space="preserve">Specificity</x:t>
        </x:is>
      </x:c>
      <x:c r="B7" s="45" t="inlineStr">
        <x:is>
          <x:t xml:space="preserve">vague: key parameters left out, model must choose sensibly. precise: every parameter needed to reproduce the template. over_specified: precise plus extra requirements that do not change trading (logging, plotting, naming, style).</x:t>
        </x:is>
      </x:c>
    </x:row>
    <x:row r="8" s="23" customFormat="1" ht="42" customHeight="1">
      <x:c r="A8" s="26" t="inlineStr">
        <x:is>
          <x:t xml:space="preserve">How it's filled</x:t>
        </x:is>
      </x:c>
      <x:c r="B8" s="45" t="str">
        <x:v>Original model outputs stay in Results. QC-feedback repairs and their judge scores are reported separately on QC Feedback and Judge Details. Blank means not evaluated.</x:v>
      </x:c>
    </x:row>
    <x:row r="9" s="23" customFormat="1" ht="42" customHeight="1">
      <x:c r="A9" s="26" t="inlineStr">
        <x:is>
          <x:t xml:space="preserve">Compile errors</x:t>
        </x:is>
      </x:c>
      <x:c r="B9" s="45" t="str">
        <x:v>Compile errors: build diagnostic error-line estimate; 0 when QC reports BuildSuccess. Python attribute errors can still fail at runtime.</x:v>
      </x:c>
    </x:row>
    <x:row r="10" s="23" customFormat="1" ht="42" customHeight="1">
      <x:c r="A10" s="26" t="inlineStr">
        <x:is>
          <x:t xml:space="preserve">Runtime errors</x:t>
        </x:is>
      </x:c>
      <x:c r="B10" s="45" t="inlineStr">
        <x:is>
          <x:t xml:space="preserve">1 if the QC backtest crashed, 0 if it completed. A crash stops the backtest, so this is 0 or 1. Blank if it did not compile.</x:t>
        </x:is>
      </x:c>
    </x:row>
    <x:row r="11" s="23" customFormat="1" ht="42" customHeight="1">
      <x:c r="A11" s="26" t="inlineStr">
        <x:is>
          <x:t xml:space="preserve">Fidelity to prompt (1-5)</x:t>
        </x:is>
      </x:c>
      <x:c r="B11" s="45" t="str">
        <x:v>Prompt fidelity uses claude-opus-5-5, with the original 1-5 rubric and evidence for eight requirement dimensions.</x:v>
      </x:c>
    </x:row>
    <x:row r="12" s="23" customFormat="1" ht="42" customHeight="1">
      <x:c r="A12" s="26" t="inlineStr">
        <x:is>
          <x:t xml:space="preserve">   5</x:t>
        </x:is>
      </x:c>
      <x:c r="B12" s="45" t="inlineStr">
        <x:is>
          <x:t xml:space="preserve">Every requested asset, indicator, parameter, entry/exit rule and date range is present and correct.</x:t>
        </x:is>
      </x:c>
    </x:row>
    <x:row r="13" s="23" customFormat="1" ht="42" customHeight="1">
      <x:c r="A13" s="26" t="inlineStr">
        <x:is>
          <x:t xml:space="preserve">   4</x:t>
        </x:is>
      </x:c>
      <x:c r="B13" s="45" t="inlineStr">
        <x:is>
          <x:t xml:space="preserve">All key elements present; one minor detail off (e.g. wrong rebalance time).</x:t>
        </x:is>
      </x:c>
    </x:row>
    <x:row r="14" s="23" customFormat="1" ht="42" customHeight="1">
      <x:c r="A14" s="26" t="inlineStr">
        <x:is>
          <x:t xml:space="preserve">   3</x:t>
        </x:is>
      </x:c>
      <x:c r="B14" s="45" t="inlineStr">
        <x:is>
          <x:t xml:space="preserve">Core idea right but one key element wrong or missing (e.g. wrong SMA length, wrong exit rule).</x:t>
        </x:is>
      </x:c>
    </x:row>
    <x:row r="15" s="23" customFormat="1" ht="42" customHeight="1">
      <x:c r="A15" s="26" t="inlineStr">
        <x:is>
          <x:t xml:space="preserve">   2</x:t>
        </x:is>
      </x:c>
      <x:c r="B15" s="45" t="inlineStr">
        <x:is>
          <x:t xml:space="preserve">Recognizably the same strategy family, but several key elements wrong.</x:t>
        </x:is>
      </x:c>
    </x:row>
    <x:row r="16" s="23" customFormat="1" ht="42" customHeight="1">
      <x:c r="A16" s="26" t="inlineStr">
        <x:is>
          <x:t xml:space="preserve">   1</x:t>
        </x:is>
      </x:c>
      <x:c r="B16" s="45" t="inlineStr">
        <x:is>
          <x:t xml:space="preserve">Does not implement the requested strategy.</x:t>
        </x:is>
      </x:c>
    </x:row>
    <x:row r="17" s="23" customFormat="1" ht="42" customHeight="1">
      <x:c r="A17" s="26" t="inlineStr">
        <x:is>
          <x:t xml:space="preserve">Vague prompts</x:t>
        </x:is>
      </x:c>
      <x:c r="B17" s="45" t="inlineStr">
        <x:is>
          <x:t xml:space="preserve">Vague versions leave details out on purpose. Judge them on whether the code is a sensible version of the request, not on missing parameters.</x:t>
        </x:is>
      </x:c>
    </x:row>
    <x:row r="18" s="23" customFormat="1" ht="42" customHeight="1">
      <x:c r="A18" s="26" t="inlineStr">
        <x:is>
          <x:t xml:space="preserve">Human check</x:t>
        </x:is>
      </x:c>
      <x:c r="B18" s="45" t="str">
        <x:v>Human scores remain editable. A review flag is not a human score. Repaired-candidate scores must not be entered in the raw Qwen base column.</x:v>
      </x:c>
    </x:row>
    <x:row r="19" s="23" customFormat="1" ht="42" customHeight="1">
      <x:c r="A19" s="26" t="inlineStr">
        <x:is>
          <x:t xml:space="preserve">Notes</x:t>
        </x:is>
      </x:c>
      <x:c r="B19" s="45" t="inlineStr">
        <x:is>
          <x:t xml:space="preserve">Short error detail written by the pipeline (first compile error, runtime error, static-check warnings).</x:t>
        </x:is>
      </x:c>
    </x:row>
    <x:row r="20" s="23" customFormat="1" ht="42" customHeight="1">
      <x:c r="A20" s="25" t="n"/>
      <x:c r="B20" s="47"/>
    </x:row>
    <x:row r="21" s="23" customFormat="1" ht="42" customHeight="1">
      <x:c r="A21" s="26" t="inlineStr">
        <x:is>
          <x:t xml:space="preserve">Data rule</x:t>
        </x:is>
      </x:c>
      <x:c r="B21" s="45" t="inlineStr">
        <x:is>
          <x:t xml:space="preserve">These 100 prompts are TEST ONLY. Do not use them, or Fable's reference strategies, as training data.</x:t>
        </x:is>
      </x:c>
    </x:row>
    <x:row r="22" s="23" customFormat="1" ht="42" customHeight="1">
      <x:c r="A22" s="26" t="inlineStr">
        <x:is>
          <x:t xml:space="preserve">Reproducibility</x:t>
        </x:is>
      </x:c>
      <x:c r="B22" s="45" t="str">
        <x:v>Qwen generation uses temperature 0. Opus 5.5 uses default sampling and an 8192-token thinking-plus-answer budget. Outputs, exact source hashes, QC IDs, and raw judge replies are saved in the snapshot.</x:v>
      </x:c>
    </x:row>
    <x:row r="23" ht="42" customHeight="1">
      <x:c r="B23" s="48"/>
    </x:row>
    <x:row r="24" ht="42" customHeight="1">
      <x:c r="A24" s="46" t="str">
        <x:v>Snapshot</x:v>
      </x:c>
      <x:c r="B24" s="49" t="str">
        <x:v>10 original Qwen candidates, 3 QC-feedback candidates, and 3 real Claude judgments. The other 90 original prompt rows remain blank.</x:v>
      </x:c>
    </x:row>
    <x:row r="25" ht="42" customHeight="1">
      <x:c r="A25" s="46" t="str">
        <x:v>Model columns</x:v>
      </x:c>
      <x:c r="B25" s="49" t="str">
        <x:v>Fable and Qwen tuned columns are blank because no real candidate executions for those model groups are included. Gold template executions are not Fable generations.</x:v>
      </x:c>
    </x:row>
    <x:row r="26" ht="42" customHeight="1">
      <x:c r="A26" s="46" t="str">
        <x:v>Behavior metrics</x:v>
      </x:c>
      <x:c r="B26" s="49" t="str">
        <x:v>Filled orders and closed trades are different counts. F1 uses a 60-second tolerance; interval error is in seconds; DTW compares normalized daily equity with a one-observation window.</x:v>
      </x:c>
    </x:row>
    <x:row r="27" ht="42" customHeight="1">
      <x:c r="A27" s="46" t="str">
        <x:v>Date mismatch</x:v>
      </x:c>
      <x:c r="B27" s="49" t="str">
        <x:v>RSI requests Q4 2024 but its Gold starts in September. Counts are shown with different-window warnings; similarity metrics are withheld.</x:v>
      </x:c>
    </x:row>
    <x:row r="28" ht="42" customHeight="1">
      <x:c r="A28" s="46" t="str">
        <x:v>Review</x:v>
      </x:c>
      <x:c r="B28" s="49" t="str">
        <x:v>ROC retains the original Claude score of 4/5. An analyst flags its monthly schedule for review even though Claude did not.</x:v>
      </x:c>
    </x:row>
    <x:row r="29" ht="42" customHeight="1">
      <x:c r="A29" s="46" t="str">
        <x:v>Sources</x:v>
      </x:c>
      <x:c r="B29" s="49" t="str">
        <x:v>eval_results/2026-10-19/baseline_random10/qc_summary.json; eval_results/2026-10-19/repairs/&lt;prompt_id&gt;/history.json; eval_results/2026-10-19/judge_trial3/scoring/qwen_qc_feedback_trial/&lt;prompt_id&gt;.json</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xSplit="5" ySplit="2" topLeftCell="F3" activePane="bottomRight" state="frozen"/>
    </x:sheetView>
  </x:sheetViews>
  <x:sheetFormatPr baseColWidth="8" defaultColWidth="8.6796875" defaultRowHeight="15"/>
  <x:cols>
    <x:col min="1" max="1" width="38" style="22" customWidth="1"/>
    <x:col min="2" max="2" width="8" style="22" customWidth="1"/>
    <x:col min="3" max="3" width="13" style="22" customWidth="1"/>
    <x:col min="4" max="4" width="14" style="22" customWidth="1"/>
    <x:col min="5" max="5" width="68" style="22" hidden="0" customWidth="1"/>
    <x:col min="6" max="14" width="10" style="22" customWidth="1"/>
    <x:col min="15" max="15" width="12" style="22" customWidth="1"/>
    <x:col min="16" max="16" width="14" style="22" customWidth="1"/>
    <x:col min="17" max="17" width="65" style="22" hidden="0" customWidth="1"/>
  </x:cols>
  <x:sheetData>
    <x:row r="1" s="23" customFormat="1" ht="15" customHeight="1">
      <x:c r="A1" s="28" t="inlineStr">
        <x:is>
          <x:t xml:space="preserve">Prompt</x:t>
        </x:is>
      </x:c>
      <x:c r="F1" s="28" t="inlineStr">
        <x:is>
          <x:t xml:space="preserve">Fable (reference)</x:t>
        </x:is>
      </x:c>
      <x:c r="I1" s="28" t="inlineStr">
        <x:is>
          <x:t xml:space="preserve">Qwen base (pre fine-tune)</x:t>
        </x:is>
      </x:c>
      <x:c r="L1" s="28" t="inlineStr">
        <x:is>
          <x:t xml:space="preserve">Qwen tuned (post fine-tune)</x:t>
        </x:is>
      </x:c>
      <x:c r="O1" s="28" t="inlineStr">
        <x:is>
          <x:t xml:space="preserve">Human check</x:t>
        </x:is>
      </x:c>
      <x:c r="Q1" s="28" t="n"/>
    </x:row>
    <x:row r="2" s="23" customFormat="1" ht="42" customHeight="1">
      <x:c r="A2" s="29" t="inlineStr">
        <x:is>
          <x:t xml:space="preserve">Code template</x:t>
        </x:is>
      </x:c>
      <x:c r="B2" s="29" t="inlineStr">
        <x:is>
          <x:t xml:space="preserve">Version</x:t>
        </x:is>
      </x:c>
      <x:c r="C2" s="29" t="inlineStr">
        <x:is>
          <x:t xml:space="preserve">Segment</x:t>
        </x:is>
      </x:c>
      <x:c r="D2" s="29" t="inlineStr">
        <x:is>
          <x:t xml:space="preserve">Specificity</x:t>
        </x:is>
      </x:c>
      <x:c r="E2" s="29" t="inlineStr">
        <x:is>
          <x:t xml:space="preserve">Prompt text</x:t>
        </x:is>
      </x:c>
      <x:c r="F2" s="30" t="inlineStr">
        <x:is>
          <x:t xml:space="preserve">Compile errors</x:t>
        </x:is>
      </x:c>
      <x:c r="G2" s="30" t="inlineStr">
        <x:is>
          <x:t xml:space="preserve">Runtime errors</x:t>
        </x:is>
      </x:c>
      <x:c r="H2" s="30" t="inlineStr">
        <x:is>
          <x:t xml:space="preserve">Fidelity (1-5)</x:t>
        </x:is>
      </x:c>
      <x:c r="I2" s="31" t="inlineStr">
        <x:is>
          <x:t xml:space="preserve">Compile errors</x:t>
        </x:is>
      </x:c>
      <x:c r="J2" s="31" t="inlineStr">
        <x:is>
          <x:t xml:space="preserve">Runtime errors</x:t>
        </x:is>
      </x:c>
      <x:c r="K2" s="31" t="inlineStr">
        <x:is>
          <x:t xml:space="preserve">Fidelity (1-5)</x:t>
        </x:is>
      </x:c>
      <x:c r="L2" s="32" t="inlineStr">
        <x:is>
          <x:t xml:space="preserve">Compile errors</x:t>
        </x:is>
      </x:c>
      <x:c r="M2" s="32" t="inlineStr">
        <x:is>
          <x:t xml:space="preserve">Runtime errors</x:t>
        </x:is>
      </x:c>
      <x:c r="N2" s="32" t="inlineStr">
        <x:is>
          <x:t xml:space="preserve">Fidelity (1-5)</x:t>
        </x:is>
      </x:c>
      <x:c r="O2" s="33" t="inlineStr">
        <x:is>
          <x:t xml:space="preserve">Human checked (Y/N)</x:t>
        </x:is>
      </x:c>
      <x:c r="P2" s="33" t="inlineStr">
        <x:is>
          <x:t xml:space="preserve">Human fidelity, Qwen base (1-5)</x:t>
        </x:is>
      </x:c>
      <x:c r="Q2" s="29" t="inlineStr">
        <x:is>
          <x:t xml:space="preserve">Notes</x:t>
        </x:is>
      </x:c>
    </x:row>
    <x:row r="3" s="23" customFormat="1" ht="52" customHeight="1">
      <x:c r="A3" s="34" t="inlineStr">
        <x:is>
          <x:t xml:space="preserve">equity-rsi-overbought-oversold/main.py</x:t>
        </x:is>
      </x:c>
      <x:c r="B3" s="34" t="n">
        <x:v>1</x:v>
      </x:c>
      <x:c r="C3" s="34" t="inlineStr">
        <x:is>
          <x:t xml:space="preserve">individual</x:t>
        </x:is>
      </x:c>
      <x:c r="D3" s="34" t="inlineStr">
        <x:is>
          <x:t xml:space="preserve">vague</x:t>
        </x:is>
      </x:c>
      <x:c r="E3" s="44" t="inlineStr">
        <x:is>
          <x:t xml:space="preserve">Can you make me a bot for QQQ that buys when the RSI says it's oversold and shorts when it says overbought? I usually look at the hourly chart. Test it on the last few months of 2024.</x:t>
        </x:is>
      </x:c>
      <x:c r="F3" s="34"/>
      <x:c r="G3" s="34"/>
      <x:c r="H3" s="34"/>
      <x:c r="I3" s="34"/>
      <x:c r="J3" s="34"/>
      <x:c r="K3" s="34"/>
      <x:c r="L3" s="34"/>
      <x:c r="M3" s="34"/>
      <x:c r="N3" s="34"/>
      <x:c r="O3" s="36" t="inlineStr">
        <x:is>
          <x:t xml:space="preserve">Y</x:t>
        </x:is>
      </x:c>
      <x:c r="P3" s="36" t="n"/>
      <x:c r="Q3" s="35"/>
    </x:row>
    <x:row r="4" s="23" customFormat="1" ht="64" customHeight="1">
      <x:c r="A4" s="34" t="inlineStr">
        <x:is>
          <x:t xml:space="preserve">equity-rsi-overbought-oversold/main.py</x:t>
        </x:is>
      </x:c>
      <x:c r="B4" s="34" t="n">
        <x:v>2</x:v>
      </x:c>
      <x:c r="C4" s="34" t="inlineStr">
        <x:is>
          <x:t xml:space="preserve">individual</x:t>
        </x:is>
      </x:c>
      <x:c r="D4" s="34" t="inlineStr">
        <x:is>
          <x:t xml:space="preserve">precise</x:t>
        </x:is>
      </x:c>
      <x:c r="E4" s="44" t="inlineStr">
        <x:is>
          <x:t xml:space="preserve">I want a QQQ bot on 1 hour candles. Use the 14 period RSI. Buy with everything when RSI goes under 30 and sell once it's back over 50. Short with everything when RSI goes over 70 and buy back once it's under 50. Run it Sept 1 to Dec 31 2024 with 100k.</x:t>
        </x:is>
      </x:c>
      <x:c r="F4" s="34"/>
      <x:c r="G4" s="34"/>
      <x:c r="H4" s="34"/>
      <x:c r="I4" s="34"/>
      <x:c r="J4" s="34"/>
      <x:c r="K4" s="34"/>
      <x:c r="L4" s="34"/>
      <x:c r="M4" s="34"/>
      <x:c r="N4" s="34"/>
      <x:c r="O4" s="36" t="inlineStr">
        <x:is>
          <x:t xml:space="preserve">Y</x:t>
        </x:is>
      </x:c>
      <x:c r="P4" s="36" t="n"/>
      <x:c r="Q4" s="35"/>
    </x:row>
    <x:row r="5" s="23" customFormat="1" ht="90" customHeight="1">
      <x:c r="A5" s="34" t="inlineStr">
        <x:is>
          <x:t xml:space="preserve">equity-rsi-overbought-oversold/main.py</x:t>
        </x:is>
      </x:c>
      <x:c r="B5" s="34" t="n">
        <x:v>3</x:v>
      </x:c>
      <x:c r="C5" s="34" t="inlineStr">
        <x:is>
          <x:t xml:space="preserve">individual</x:t>
        </x:is>
      </x:c>
      <x:c r="D5" s="34" t="inlineStr">
        <x:is>
          <x:t xml:space="preserve">over_specified</x:t>
        </x:is>
      </x:c>
      <x:c r="E5" s="44" t="inlineStr">
        <x:is>
          <x:t xml:space="preserve">I want a QQQ bot on 1 hour candles. Use the 14 period RSI (the Wilder kind). Buy with everything when RSI goes under 30 and sell once it's back over 50. Short with everything when RSI goes over 70 and buy back once it's under 50. Run it Sept 1 to Dec 31 2024 with 100k. Also plot the RSI on a chart so I can see it, name the class RsiBot, don't trade until the RSI has enough data, and put comments explaining each rule.</x:t>
        </x:is>
      </x:c>
      <x:c r="F5" s="34"/>
      <x:c r="G5" s="34"/>
      <x:c r="H5" s="34"/>
      <x:c r="I5" s="34"/>
      <x:c r="J5" s="34"/>
      <x:c r="K5" s="34"/>
      <x:c r="L5" s="34"/>
      <x:c r="M5" s="34"/>
      <x:c r="N5" s="34"/>
      <x:c r="O5" s="36" t="inlineStr">
        <x:is>
          <x:t xml:space="preserve">Y</x:t>
        </x:is>
      </x:c>
      <x:c r="P5" s="36" t="n"/>
      <x:c r="Q5" s="35"/>
    </x:row>
    <x:row r="6" s="23" customFormat="1" ht="90" customHeight="1">
      <x:c r="A6" s="34" t="inlineStr">
        <x:is>
          <x:t xml:space="preserve">equity-rsi-overbought-oversold/main.py</x:t>
        </x:is>
      </x:c>
      <x:c r="B6" s="34" t="n">
        <x:v>4</x:v>
      </x:c>
      <x:c r="C6" s="34" t="inlineStr">
        <x:is>
          <x:t xml:space="preserve">startup</x:t>
        </x:is>
      </x:c>
      <x:c r="D6" s="34" t="inlineStr">
        <x:is>
          <x:t xml:space="preserve">vague</x:t>
        </x:is>
      </x:c>
      <x:c r="E6" s="44" t="inlineStr">
        <x:is>
          <x:t xml:space="preserve">QQQ RSI mean-rev, hourly, long oversold / short overbought, exit at midline. Q4 2024. Need it today.</x:t>
        </x:is>
      </x:c>
      <x:c r="F6" s="34"/>
      <x:c r="G6" s="34"/>
      <x:c r="H6" s="34"/>
      <x:c r="I6" s="34" t="n">
        <x:v>0</x:v>
      </x:c>
      <x:c r="J6" s="34" t="n">
        <x:v>1</x:v>
      </x:c>
      <x:c r="K6" s="34"/>
      <x:c r="L6" s="34"/>
      <x:c r="M6" s="34"/>
      <x:c r="N6" s="34"/>
      <x:c r="O6" s="36" t="inlineStr">
        <x:is>
          <x:t xml:space="preserve">Y</x:t>
        </x:is>
      </x:c>
      <x:c r="P6" s="36" t="n"/>
      <x:c r="Q6" s="44" t="str">
        <x:v>Original Qwen baseline. runtime_error. 2024-10-01 00:00:00 During the algorithm initialization, the following exception has occurred: type object 'Resolution' has no attribute 'Hourly' Did you mean: 'HOUR'? at Initialize self.symbol = self.AddEquity("QQQ", Resolution.Hourly).Symbol ^^^^^^^^^^^^^^^^^ in main.py: line 19 type object 'Resolution' has no attribute 'Hourly' Did you mean: 'HOUR'?</x:v>
      </x:c>
    </x:row>
    <x:row r="7" s="23" customFormat="1" ht="52" customHeight="1">
      <x:c r="A7" s="34" t="inlineStr">
        <x:is>
          <x:t xml:space="preserve">equity-rsi-overbought-oversold/main.py</x:t>
        </x:is>
      </x:c>
      <x:c r="B7" s="34" t="n">
        <x:v>5</x:v>
      </x:c>
      <x:c r="C7" s="34" t="inlineStr">
        <x:is>
          <x:t xml:space="preserve">startup</x:t>
        </x:is>
      </x:c>
      <x:c r="D7" s="34" t="inlineStr">
        <x:is>
          <x:t xml:space="preserve">precise</x:t>
        </x:is>
      </x:c>
      <x:c r="E7" s="44" t="inlineStr">
        <x:is>
          <x:t xml:space="preserve">QQQ hourly, RSI(14). Long 100% &lt;30, flat &gt;50. Short 100% &gt;70, flat &lt;50. 2024-09-01 to 2024-12-31, 100k. Gate on indicator ready.</x:t>
        </x:is>
      </x:c>
      <x:c r="F7" s="34"/>
      <x:c r="G7" s="34"/>
      <x:c r="H7" s="34"/>
      <x:c r="I7" s="34"/>
      <x:c r="J7" s="34"/>
      <x:c r="K7" s="34"/>
      <x:c r="L7" s="34"/>
      <x:c r="M7" s="34"/>
      <x:c r="N7" s="34"/>
      <x:c r="O7" s="36" t="inlineStr">
        <x:is>
          <x:t xml:space="preserve">Y</x:t>
        </x:is>
      </x:c>
      <x:c r="P7" s="36" t="n"/>
      <x:c r="Q7" s="35"/>
    </x:row>
    <x:row r="8" s="23" customFormat="1" ht="64" customHeight="1">
      <x:c r="A8" s="34" t="inlineStr">
        <x:is>
          <x:t xml:space="preserve">equity-rsi-overbought-oversold/main.py</x:t>
        </x:is>
      </x:c>
      <x:c r="B8" s="34" t="n">
        <x:v>6</x:v>
      </x:c>
      <x:c r="C8" s="34" t="inlineStr">
        <x:is>
          <x:t xml:space="preserve">startup</x:t>
        </x:is>
      </x:c>
      <x:c r="D8" s="34" t="inlineStr">
        <x:is>
          <x:t xml:space="preserve">over_specified</x:t>
        </x:is>
      </x:c>
      <x:c r="E8" s="44" t="inlineStr">
        <x:is>
          <x:t xml:space="preserve">QQQ hourly, RSI(14) Wilder. Long 100% &lt;30, flat &gt;50. Short 100% &gt;70, flat &lt;50. 2024-09-01 to 2024-12-31, 100k. Gate on indicator ready. Also: auto warm-up on, plot RSI, snake_case API only, one class, no helper files, keep it under 40 lines so we can diff it fast.</x:t>
        </x:is>
      </x:c>
      <x:c r="F8" s="34"/>
      <x:c r="G8" s="34"/>
      <x:c r="H8" s="34"/>
      <x:c r="I8" s="34"/>
      <x:c r="J8" s="34"/>
      <x:c r="K8" s="34"/>
      <x:c r="L8" s="34"/>
      <x:c r="M8" s="34"/>
      <x:c r="N8" s="34"/>
      <x:c r="O8" s="36" t="inlineStr">
        <x:is>
          <x:t xml:space="preserve">Y</x:t>
        </x:is>
      </x:c>
      <x:c r="P8" s="36" t="n"/>
      <x:c r="Q8" s="35"/>
    </x:row>
    <x:row r="9" s="23" customFormat="1" ht="64" customHeight="1">
      <x:c r="A9" s="34" t="inlineStr">
        <x:is>
          <x:t xml:space="preserve">equity-rsi-overbought-oversold/main.py</x:t>
        </x:is>
      </x:c>
      <x:c r="B9" s="34" t="n">
        <x:v>7</x:v>
      </x:c>
      <x:c r="C9" s="34" t="inlineStr">
        <x:is>
          <x:t xml:space="preserve">institutional</x:t>
        </x:is>
      </x:c>
      <x:c r="D9" s="34" t="inlineStr">
        <x:is>
          <x:t xml:space="preserve">vague</x:t>
        </x:is>
      </x:c>
      <x:c r="E9" s="44" t="inlineStr">
        <x:is>
          <x:t xml:space="preserve">Our research desk needs a baseline two-sided RSI mean-reversion algorithm on QQQ at hourly resolution for the September to December 2024 window, consistent with our internal implementation. Standard paper account. Use conventional thresholds.</x:t>
        </x:is>
      </x:c>
      <x:c r="F9" s="34"/>
      <x:c r="G9" s="34"/>
      <x:c r="H9" s="34"/>
      <x:c r="I9" s="34"/>
      <x:c r="J9" s="34"/>
      <x:c r="K9" s="34"/>
      <x:c r="L9" s="34"/>
      <x:c r="M9" s="34"/>
      <x:c r="N9" s="34"/>
      <x:c r="O9" s="36" t="inlineStr">
        <x:is>
          <x:t xml:space="preserve">Y</x:t>
        </x:is>
      </x:c>
      <x:c r="P9" s="36" t="n"/>
      <x:c r="Q9" s="35"/>
    </x:row>
    <x:row r="10" s="23" customFormat="1" ht="90" customHeight="1">
      <x:c r="A10" s="34" t="inlineStr">
        <x:is>
          <x:t xml:space="preserve">equity-rsi-overbought-oversold/main.py</x:t>
        </x:is>
      </x:c>
      <x:c r="B10" s="34" t="n">
        <x:v>8</x:v>
      </x:c>
      <x:c r="C10" s="34" t="inlineStr">
        <x:is>
          <x:t xml:space="preserve">institutional</x:t>
        </x:is>
      </x:c>
      <x:c r="D10" s="34" t="inlineStr">
        <x:is>
          <x:t xml:space="preserve">precise</x:t>
        </x:is>
      </x:c>
      <x:c r="E10" s="44" t="inlineStr">
        <x:is>
          <x:t xml:space="preserve">Implement the desk's two-sided RSI mean-reversion reference on QQQ. Resolution: hourly. Window: 2024-09-01 to 2024-12-31. Capital: 100,000. Indicator: RSI, 14 periods, Wilder smoothing. Rules: flat or short and RSI below 30, allocate 100% long; long and RSI above 50, liquidate; flat or long and RSI above 70, allocate 100% short; short and RSI below 50, liquidate. No signals before the indicator is ready.</x:t>
        </x:is>
      </x:c>
      <x:c r="F10" s="34"/>
      <x:c r="G10" s="34"/>
      <x:c r="H10" s="34"/>
      <x:c r="I10" s="34"/>
      <x:c r="J10" s="34"/>
      <x:c r="K10" s="34"/>
      <x:c r="L10" s="34"/>
      <x:c r="M10" s="34"/>
      <x:c r="N10" s="34"/>
      <x:c r="O10" s="36" t="inlineStr">
        <x:is>
          <x:t xml:space="preserve">Y</x:t>
        </x:is>
      </x:c>
      <x:c r="P10" s="36" t="n"/>
      <x:c r="Q10" s="35"/>
    </x:row>
    <x:row r="11" s="23" customFormat="1" ht="142" customHeight="1">
      <x:c r="A11" s="34" t="inlineStr">
        <x:is>
          <x:t xml:space="preserve">equity-rsi-overbought-oversold/main.py</x:t>
        </x:is>
      </x:c>
      <x:c r="B11" s="34" t="n">
        <x:v>9</x:v>
      </x:c>
      <x:c r="C11" s="34" t="inlineStr">
        <x:is>
          <x:t xml:space="preserve">institutional</x:t>
        </x:is>
      </x:c>
      <x:c r="D11" s="34" t="inlineStr">
        <x:is>
          <x:t xml:space="preserve">over_specified</x:t>
        </x:is>
      </x:c>
      <x:c r="E11" s="44" t="inlineStr">
        <x:is>
          <x:t xml:space="preserve">Implement the desk's two-sided RSI mean-reversion reference on QQQ. Resolution: hourly. Window: 2024-09-01 to 2024-12-31. Capital: 100,000. Indicator: RSI, 14 periods, Wilder smoothing. Rules: flat or short and RSI below 30, allocate 100% long; long and RSI above 50, liquidate; flat or long and RSI above 70, allocate 100% short; short and RSI below 50, liquidate. No signals before the indicator is ready. Compliance: plot the RSI for audit, use the current snake_case QuantConnect API per our style guide, type-annotate initialize and on_data, enable automatic indicator warm-up, and keep position sizing at exactly 100% notional, no leverage beyond that.</x:t>
        </x:is>
      </x:c>
      <x:c r="F11" s="34"/>
      <x:c r="G11" s="34"/>
      <x:c r="H11" s="34"/>
      <x:c r="I11" s="34"/>
      <x:c r="J11" s="34"/>
      <x:c r="K11" s="34"/>
      <x:c r="L11" s="34"/>
      <x:c r="M11" s="34"/>
      <x:c r="N11" s="34"/>
      <x:c r="O11" s="36" t="inlineStr">
        <x:is>
          <x:t xml:space="preserve">Y</x:t>
        </x:is>
      </x:c>
      <x:c r="P11" s="36" t="n"/>
      <x:c r="Q11" s="35"/>
    </x:row>
    <x:row r="12" s="23" customFormat="1" ht="129" customHeight="1">
      <x:c r="A12" s="34" t="inlineStr">
        <x:is>
          <x:t xml:space="preserve">equity-rsi-overbought-oversold/main.py</x:t>
        </x:is>
      </x:c>
      <x:c r="B12" s="34" t="n">
        <x:v>10</x:v>
      </x:c>
      <x:c r="C12" s="34" t="inlineStr">
        <x:is>
          <x:t xml:space="preserve">reference</x:t>
        </x:is>
      </x:c>
      <x:c r="D12" s="34" t="inlineStr">
        <x:is>
          <x:t xml:space="preserve">ceiling</x:t>
        </x:is>
      </x:c>
      <x:c r="E12" s="44" t="inlineStr">
        <x:is>
          <x:t xml:space="preserve">QuantConnect Python, current snake_case API. In initialize: set_start_date(2024, 9, 1), set_end_date(2024, 12, 31), set_cash(100000), settings.automatic_indicator_warm_up = True, equity = add_equity('QQQ', Resolution.HOUR), rsi = self.rsi(equity, 14, MovingAverageType.WILDERS, Resolution.HOUR), plot_indicator('RSI', rsi). In on_data: return unless rsi.is_ready; read equity.holdings.quantity; quantity &lt;= 0 and rsi &lt; 30 -&gt; set_holdings(equity, 1); quantity &gt; 0 and rsi &gt; 50 -&gt; liquidate(); quantity &gt;= 0 and rsi &gt; 70 -&gt; set_holdings(equity, -1); quantity &lt; 0 and rsi &lt; 50 -&gt; liquidate().</x:t>
        </x:is>
      </x:c>
      <x:c r="F12" s="34"/>
      <x:c r="G12" s="34"/>
      <x:c r="H12" s="34"/>
      <x:c r="I12" s="34"/>
      <x:c r="J12" s="34"/>
      <x:c r="K12" s="34"/>
      <x:c r="L12" s="34"/>
      <x:c r="M12" s="34"/>
      <x:c r="N12" s="34"/>
      <x:c r="O12" s="36" t="inlineStr">
        <x:is>
          <x:t xml:space="preserve">Y</x:t>
        </x:is>
      </x:c>
      <x:c r="P12" s="36" t="n"/>
      <x:c r="Q12" s="35"/>
    </x:row>
    <x:row r="13" s="23" customFormat="1" ht="52" customHeight="1">
      <x:c r="A13" s="37" t="inlineStr">
        <x:is>
          <x:t xml:space="preserve">equity-bollinger-mean-reversion/main.py</x:t>
        </x:is>
      </x:c>
      <x:c r="B13" s="37" t="n">
        <x:v>1</x:v>
      </x:c>
      <x:c r="C13" s="37" t="inlineStr">
        <x:is>
          <x:t xml:space="preserve">individual</x:t>
        </x:is>
      </x:c>
      <x:c r="D13" s="37" t="inlineStr">
        <x:is>
          <x:t xml:space="preserve">vague</x:t>
        </x:is>
      </x:c>
      <x:c r="E13" s="44" t="inlineStr">
        <x:is>
          <x:t xml:space="preserve">Make me something for SPY that buys when it drops below the bottom Bollinger band and sells when it comes back to the middle. Just check once a day. Late 2024.</x:t>
        </x:is>
      </x:c>
      <x:c r="F13" s="34"/>
      <x:c r="G13" s="34"/>
      <x:c r="H13" s="34"/>
      <x:c r="I13" s="34"/>
      <x:c r="J13" s="34"/>
      <x:c r="K13" s="34"/>
      <x:c r="L13" s="34"/>
      <x:c r="M13" s="34"/>
      <x:c r="N13" s="34"/>
      <x:c r="O13" s="36" t="n"/>
      <x:c r="P13" s="36" t="n"/>
      <x:c r="Q13" s="35"/>
    </x:row>
    <x:row r="14" s="23" customFormat="1" ht="64" customHeight="1">
      <x:c r="A14" s="37" t="inlineStr">
        <x:is>
          <x:t xml:space="preserve">equity-bollinger-mean-reversion/main.py</x:t>
        </x:is>
      </x:c>
      <x:c r="B14" s="37" t="n">
        <x:v>2</x:v>
      </x:c>
      <x:c r="C14" s="37" t="inlineStr">
        <x:is>
          <x:t xml:space="preserve">individual</x:t>
        </x:is>
      </x:c>
      <x:c r="D14" s="37" t="inlineStr">
        <x:is>
          <x:t xml:space="preserve">precise</x:t>
        </x:is>
      </x:c>
      <x:c r="E14" s="44" t="inlineStr">
        <x:is>
          <x:t xml:space="preserve">SPY strategy. Bollinger Bands with 20 days and 2 standard deviations on daily bars. Once a day before the open: if I'm not in and the price is below the lower band, buy with everything. If I'm in and the price is at or above the middle band, sell everything. Sept 1 to Dec 31 2024, 100k.</x:t>
        </x:is>
      </x:c>
      <x:c r="F14" s="34"/>
      <x:c r="G14" s="34"/>
      <x:c r="H14" s="34"/>
      <x:c r="I14" s="34"/>
      <x:c r="J14" s="34"/>
      <x:c r="K14" s="34"/>
      <x:c r="L14" s="34"/>
      <x:c r="M14" s="34"/>
      <x:c r="N14" s="34"/>
      <x:c r="O14" s="36" t="n"/>
      <x:c r="P14" s="36" t="n"/>
      <x:c r="Q14" s="35"/>
    </x:row>
    <x:row r="15" s="23" customFormat="1" ht="103" customHeight="1">
      <x:c r="A15" s="37" t="inlineStr">
        <x:is>
          <x:t xml:space="preserve">equity-bollinger-mean-reversion/main.py</x:t>
        </x:is>
      </x:c>
      <x:c r="B15" s="37" t="n">
        <x:v>3</x:v>
      </x:c>
      <x:c r="C15" s="37" t="inlineStr">
        <x:is>
          <x:t xml:space="preserve">individual</x:t>
        </x:is>
      </x:c>
      <x:c r="D15" s="37" t="inlineStr">
        <x:is>
          <x:t xml:space="preserve">over_specified</x:t>
        </x:is>
      </x:c>
      <x:c r="E15" s="44" t="inlineStr">
        <x:is>
          <x:t xml:space="preserve">SPY strategy. Bollinger Bands with 20 days and 2 standard deviations on daily bars. Once a day before the open: if I'm not in and the price is below the lower band, buy with everything. If I'm in and the price is at or above the middle band, sell everything. Sept 1 to Dec 31 2024, 100k. Also plot the upper, middle and lower bands, call the class BollingerDipBuyer, seed the starting prices so day one works, and add a comment above each rule.</x:t>
        </x:is>
      </x:c>
      <x:c r="F15" s="34"/>
      <x:c r="G15" s="34"/>
      <x:c r="H15" s="34"/>
      <x:c r="I15" s="34"/>
      <x:c r="J15" s="34"/>
      <x:c r="K15" s="34"/>
      <x:c r="L15" s="34"/>
      <x:c r="M15" s="34"/>
      <x:c r="N15" s="34"/>
      <x:c r="O15" s="36" t="n"/>
      <x:c r="P15" s="36" t="n"/>
      <x:c r="Q15" s="35"/>
    </x:row>
    <x:row r="16" s="23" customFormat="1" ht="90" customHeight="1">
      <x:c r="A16" s="37" t="inlineStr">
        <x:is>
          <x:t xml:space="preserve">equity-bollinger-mean-reversion/main.py</x:t>
        </x:is>
      </x:c>
      <x:c r="B16" s="37" t="n">
        <x:v>4</x:v>
      </x:c>
      <x:c r="C16" s="37" t="inlineStr">
        <x:is>
          <x:t xml:space="preserve">startup</x:t>
        </x:is>
      </x:c>
      <x:c r="D16" s="37" t="inlineStr">
        <x:is>
          <x:t xml:space="preserve">vague</x:t>
        </x:is>
      </x:c>
      <x:c r="E16" s="44" t="inlineStr">
        <x:is>
          <x:t xml:space="preserve">SPY BB(20,2) dip buy, exit at midline, daily check. Q4 2024. Quick.</x:t>
        </x:is>
      </x:c>
      <x:c r="F16" s="34"/>
      <x:c r="G16" s="34"/>
      <x:c r="H16" s="34"/>
      <x:c r="I16" s="34" t="n">
        <x:v>0</x:v>
      </x:c>
      <x:c r="J16" s="34" t="n">
        <x:v>1</x:v>
      </x:c>
      <x:c r="K16" s="34"/>
      <x:c r="L16" s="34"/>
      <x:c r="M16" s="34"/>
      <x:c r="N16" s="34"/>
      <x:c r="O16" s="36" t="n"/>
      <x:c r="P16" s="36" t="n"/>
      <x:c r="Q16" s="44" t="str">
        <x:v>Original Qwen baseline. runtime_error. 2024-10-01 00:00:00 During the algorithm initialization, the following exception has occurred: 'BB202DipBuyMidlineExitQ42024' object has no attribute 'bollinger_bands' at initialize self.bb = self.bollinger_bands(20, 2, MovingAverageType.SIMPLE) ^^^^^^^^^^^^^^^^^^^^ in main.py: line 20 'BB202DipBuyMidlineExitQ42024' object has no attribute 'bollinger_bands'</x:v>
      </x:c>
    </x:row>
    <x:row r="17" s="23" customFormat="1" ht="90" customHeight="1">
      <x:c r="A17" s="37" t="inlineStr">
        <x:is>
          <x:t xml:space="preserve">equity-bollinger-mean-reversion/main.py</x:t>
        </x:is>
      </x:c>
      <x:c r="B17" s="37" t="n">
        <x:v>5</x:v>
      </x:c>
      <x:c r="C17" s="37" t="inlineStr">
        <x:is>
          <x:t xml:space="preserve">startup</x:t>
        </x:is>
      </x:c>
      <x:c r="D17" s="37" t="inlineStr">
        <x:is>
          <x:t xml:space="preserve">precise</x:t>
        </x:is>
      </x:c>
      <x:c r="E17" s="44" t="inlineStr">
        <x:is>
          <x:t xml:space="preserve">SPY, BB(20, 2) on daily bars. Daily check pre-open: flat and price &lt; lower band -&gt; 100% long; invested and price &gt;= middle band -&gt; liquidate. 2024-09-01 to 2024-12-31, 100k.</x:t>
        </x:is>
      </x:c>
      <x:c r="F17" s="34"/>
      <x:c r="G17" s="34"/>
      <x:c r="H17" s="34"/>
      <x:c r="I17" s="34" t="n">
        <x:v>0</x:v>
      </x:c>
      <x:c r="J17" s="34" t="n">
        <x:v>1</x:v>
      </x:c>
      <x:c r="K17" s="34"/>
      <x:c r="L17" s="34"/>
      <x:c r="M17" s="34"/>
      <x:c r="N17" s="34"/>
      <x:c r="O17" s="36" t="n"/>
      <x:c r="P17" s="36" t="n"/>
      <x:c r="Q17" s="44" t="str">
        <x:v>Original Qwen baseline. runtime_error. [ERROR] FATAL UNHANDLED EXCEPTION:Engine.Run(): During the algorithm initialization, the following exception has occurred: 'SPYBollingerStrategy' object has no attribute 'Indicator' Did you mean: 'indicator_history', 'plot_indicator', 'warm_up_indicator', 'register_indicator', 'deregister_indicator'?, at Initialize, self.bb = self.Indicator(self.spy, 20, Reso</x:v>
      </x:c>
    </x:row>
    <x:row r="18" s="23" customFormat="1" ht="77" customHeight="1">
      <x:c r="A18" s="37" t="inlineStr">
        <x:is>
          <x:t xml:space="preserve">equity-bollinger-mean-reversion/main.py</x:t>
        </x:is>
      </x:c>
      <x:c r="B18" s="37" t="n">
        <x:v>6</x:v>
      </x:c>
      <x:c r="C18" s="37" t="inlineStr">
        <x:is>
          <x:t xml:space="preserve">startup</x:t>
        </x:is>
      </x:c>
      <x:c r="D18" s="37" t="inlineStr">
        <x:is>
          <x:t xml:space="preserve">over_specified</x:t>
        </x:is>
      </x:c>
      <x:c r="E18" s="44" t="inlineStr">
        <x:is>
          <x:t xml:space="preserve">SPY, BB(20, 2) on daily bars. Daily check pre-open at 08:00: flat and price &lt; lower band -&gt; 100% long; invested and price &gt;= middle band -&gt; liquidate. 2024-09-01 to 2024-12-31, 100k. Auto warm-up, seed initial prices, plot all three bands, snake_case API, single class, no magic numbers (name the 20 and 2).</x:t>
        </x:is>
      </x:c>
      <x:c r="F18" s="34"/>
      <x:c r="G18" s="34"/>
      <x:c r="H18" s="34"/>
      <x:c r="I18" s="34"/>
      <x:c r="J18" s="34"/>
      <x:c r="K18" s="34"/>
      <x:c r="L18" s="34"/>
      <x:c r="M18" s="34"/>
      <x:c r="N18" s="34"/>
      <x:c r="O18" s="36" t="n"/>
      <x:c r="P18" s="36" t="n"/>
      <x:c r="Q18" s="35"/>
    </x:row>
    <x:row r="19" s="23" customFormat="1" ht="64" customHeight="1">
      <x:c r="A19" s="37" t="inlineStr">
        <x:is>
          <x:t xml:space="preserve">equity-bollinger-mean-reversion/main.py</x:t>
        </x:is>
      </x:c>
      <x:c r="B19" s="37" t="n">
        <x:v>7</x:v>
      </x:c>
      <x:c r="C19" s="37" t="inlineStr">
        <x:is>
          <x:t xml:space="preserve">institutional</x:t>
        </x:is>
      </x:c>
      <x:c r="D19" s="37" t="inlineStr">
        <x:is>
          <x:t xml:space="preserve">vague</x:t>
        </x:is>
      </x:c>
      <x:c r="E19" s="44" t="inlineStr">
        <x:is>
          <x:t xml:space="preserve">We need a Bollinger Band mean-reversion reference on SPY for the September to December 2024 window, daily signal evaluation, consistent with our internal implementation. Standard paper account and standard band parameters.</x:t>
        </x:is>
      </x:c>
      <x:c r="F19" s="34"/>
      <x:c r="G19" s="34"/>
      <x:c r="H19" s="34"/>
      <x:c r="I19" s="34"/>
      <x:c r="J19" s="34"/>
      <x:c r="K19" s="34"/>
      <x:c r="L19" s="34"/>
      <x:c r="M19" s="34"/>
      <x:c r="N19" s="34"/>
      <x:c r="O19" s="36" t="n"/>
      <x:c r="P19" s="36" t="n"/>
      <x:c r="Q19" s="35"/>
    </x:row>
    <x:row r="20" s="23" customFormat="1" ht="90" customHeight="1">
      <x:c r="A20" s="37" t="inlineStr">
        <x:is>
          <x:t xml:space="preserve">equity-bollinger-mean-reversion/main.py</x:t>
        </x:is>
      </x:c>
      <x:c r="B20" s="37" t="n">
        <x:v>8</x:v>
      </x:c>
      <x:c r="C20" s="37" t="inlineStr">
        <x:is>
          <x:t xml:space="preserve">institutional</x:t>
        </x:is>
      </x:c>
      <x:c r="D20" s="37" t="inlineStr">
        <x:is>
          <x:t xml:space="preserve">precise</x:t>
        </x:is>
      </x:c>
      <x:c r="E20" s="44" t="inlineStr">
        <x:is>
          <x:t xml:space="preserve">Implement the desk's Bollinger mean-reversion reference on SPY. Window: 2024-09-01 to 2024-12-31. Capital: 100,000. Indicator: Bollinger Bands, 20-period, 2 standard deviations, daily resolution. Evaluation: once per trading day at 08:00. Rules: not invested and price below the lower band, allocate 100% long; invested and price at or above the middle band, liquidate.</x:t>
        </x:is>
      </x:c>
      <x:c r="F20" s="34"/>
      <x:c r="G20" s="34"/>
      <x:c r="H20" s="34"/>
      <x:c r="I20" s="34" t="n">
        <x:v>0</x:v>
      </x:c>
      <x:c r="J20" s="34" t="n">
        <x:v>1</x:v>
      </x:c>
      <x:c r="K20" s="34"/>
      <x:c r="L20" s="34"/>
      <x:c r="M20" s="34"/>
      <x:c r="N20" s="34"/>
      <x:c r="O20" s="36" t="n"/>
      <x:c r="P20" s="36" t="n"/>
      <x:c r="Q20" s="44" t="str">
        <x:v>Original Qwen baseline. runtime_error. 2024-09-01 00:00:00 During the algorithm initialization, the following exception has occurred: 'BollingerMeanReversionAlgorithm' object has no attribute 'Indicator' Did you mean: 'indicator_history', 'plot_indicator', 'warm_up_indicator', 'register_indicator', 'deregister_indicator'? at Initialize self.bb = self.Indicator(self.spy, 20, 20, Resolution.DAILY) ^</x:v>
      </x:c>
    </x:row>
    <x:row r="21" s="23" customFormat="1" ht="129" customHeight="1">
      <x:c r="A21" s="37" t="inlineStr">
        <x:is>
          <x:t xml:space="preserve">equity-bollinger-mean-reversion/main.py</x:t>
        </x:is>
      </x:c>
      <x:c r="B21" s="37" t="n">
        <x:v>9</x:v>
      </x:c>
      <x:c r="C21" s="37" t="inlineStr">
        <x:is>
          <x:t xml:space="preserve">institutional</x:t>
        </x:is>
      </x:c>
      <x:c r="D21" s="37" t="inlineStr">
        <x:is>
          <x:t xml:space="preserve">over_specified</x:t>
        </x:is>
      </x:c>
      <x:c r="E21" s="44" t="inlineStr">
        <x:is>
          <x:t xml:space="preserve">Implement the desk's Bollinger mean-reversion reference on SPY. Window: 2024-09-01 to 2024-12-31. Capital: 100,000. Indicator: Bollinger Bands, 20-period, 2 standard deviations, daily resolution. Evaluation: once per trading day at 08:00 via a scheduled event. Rules: not invested and price below the lower band, allocate 100% long; invested and price at or above the middle band, liquidate. Compliance: plot upper, middle and lower bands for audit, enable automatic indicator warm-up and seed initial prices, use the current snake_case API per our style guide, type-annotate methods, long-only with no leverage.</x:t>
        </x:is>
      </x:c>
      <x:c r="F21" s="34"/>
      <x:c r="G21" s="34"/>
      <x:c r="H21" s="34"/>
      <x:c r="I21" s="34"/>
      <x:c r="J21" s="34"/>
      <x:c r="K21" s="34"/>
      <x:c r="L21" s="34"/>
      <x:c r="M21" s="34"/>
      <x:c r="N21" s="34"/>
      <x:c r="O21" s="36" t="n"/>
      <x:c r="P21" s="36" t="n"/>
      <x:c r="Q21" s="35"/>
    </x:row>
    <x:row r="22" s="23" customFormat="1" ht="129" customHeight="1">
      <x:c r="A22" s="37" t="inlineStr">
        <x:is>
          <x:t xml:space="preserve">equity-bollinger-mean-reversion/main.py</x:t>
        </x:is>
      </x:c>
      <x:c r="B22" s="37" t="n">
        <x:v>10</x:v>
      </x:c>
      <x:c r="C22" s="37" t="inlineStr">
        <x:is>
          <x:t xml:space="preserve">reference</x:t>
        </x:is>
      </x:c>
      <x:c r="D22" s="37" t="inlineStr">
        <x:is>
          <x:t xml:space="preserve">ceiling</x:t>
        </x:is>
      </x:c>
      <x:c r="E22" s="44" t="inlineStr">
        <x:is>
          <x:t xml:space="preserve">QuantConnect Python, snake_case. initialize: set_start_date(2024, 9, 1), set_end_date(2024, 12, 31), set_cash(100000), settings.seed_initial_prices = True, settings.automatic_indicator_warm_up = True, equity = add_equity('SPY'), bb = self.bb(equity, 20, 2, resolution=Resolution.DAILY), plot_indicator('SPY', bb.upper_band, bb.middle_band, bb.lower_band), schedule.on(date_rules.every_day(equity), time_rules.at(8, 0), self._rebalance). _rebalance: not portfolio.invested and equity.price &lt; bb.lower_band.current.value -&gt; set_holdings(equity, 1); portfolio.invested and equity.price &gt;= bb.middle_band.current.value -&gt; liquidate().</x:t>
        </x:is>
      </x:c>
      <x:c r="F22" s="34"/>
      <x:c r="G22" s="34"/>
      <x:c r="H22" s="34"/>
      <x:c r="I22" s="34"/>
      <x:c r="J22" s="34"/>
      <x:c r="K22" s="34"/>
      <x:c r="L22" s="34"/>
      <x:c r="M22" s="34"/>
      <x:c r="N22" s="34"/>
      <x:c r="O22" s="36" t="n"/>
      <x:c r="P22" s="36" t="n"/>
      <x:c r="Q22" s="35"/>
    </x:row>
    <x:row r="23" s="23" customFormat="1" ht="52" customHeight="1">
      <x:c r="A23" s="34" t="inlineStr">
        <x:is>
          <x:t xml:space="preserve">equity-atr-volatility-stop/main.py</x:t>
        </x:is>
      </x:c>
      <x:c r="B23" s="34" t="n">
        <x:v>1</x:v>
      </x:c>
      <x:c r="C23" s="34" t="inlineStr">
        <x:is>
          <x:t xml:space="preserve">individual</x:t>
        </x:is>
      </x:c>
      <x:c r="D23" s="34" t="inlineStr">
        <x:is>
          <x:t xml:space="preserve">vague</x:t>
        </x:is>
      </x:c>
      <x:c r="E23" s="44" t="inlineStr">
        <x:is>
          <x:t xml:space="preserve">I want to basically always hold SPY but have it sell automatically if it drops too far from its recent high, then buy back in right away. Something ATR based. 2022 to 2024.</x:t>
        </x:is>
      </x:c>
      <x:c r="F23" s="34"/>
      <x:c r="G23" s="34"/>
      <x:c r="H23" s="34"/>
      <x:c r="I23" s="34"/>
      <x:c r="J23" s="34"/>
      <x:c r="K23" s="34"/>
      <x:c r="L23" s="34"/>
      <x:c r="M23" s="34"/>
      <x:c r="N23" s="34"/>
      <x:c r="O23" s="36" t="n"/>
      <x:c r="P23" s="36" t="n"/>
      <x:c r="Q23" s="35"/>
    </x:row>
    <x:row r="24" s="23" customFormat="1" ht="77" customHeight="1">
      <x:c r="A24" s="34" t="inlineStr">
        <x:is>
          <x:t xml:space="preserve">equity-atr-volatility-stop/main.py</x:t>
        </x:is>
      </x:c>
      <x:c r="B24" s="34" t="n">
        <x:v>2</x:v>
      </x:c>
      <x:c r="C24" s="34" t="inlineStr">
        <x:is>
          <x:t xml:space="preserve">individual</x:t>
        </x:is>
      </x:c>
      <x:c r="D24" s="34" t="inlineStr">
        <x:is>
          <x:t xml:space="preserve">precise</x:t>
        </x:is>
      </x:c>
      <x:c r="E24" s="44" t="inlineStr">
        <x:is>
          <x:t xml:space="preserve">Hold SPY with all my money. Keep track of the highest close since I bought. Use a 14 period ATR. If the close drops below the highest close minus 3 times the ATR, sell everything, then buy again on the next bar and start tracking the high over. Minute data, Jan 1 2022 to Dec 31 2024, 100k.</x:t>
        </x:is>
      </x:c>
      <x:c r="F24" s="34"/>
      <x:c r="G24" s="34"/>
      <x:c r="H24" s="34"/>
      <x:c r="I24" s="34"/>
      <x:c r="J24" s="34"/>
      <x:c r="K24" s="34"/>
      <x:c r="L24" s="34"/>
      <x:c r="M24" s="34"/>
      <x:c r="N24" s="34"/>
      <x:c r="O24" s="36" t="n"/>
      <x:c r="P24" s="36" t="n"/>
      <x:c r="Q24" s="35"/>
    </x:row>
    <x:row r="25" s="23" customFormat="1" ht="103" customHeight="1">
      <x:c r="A25" s="34" t="inlineStr">
        <x:is>
          <x:t xml:space="preserve">equity-atr-volatility-stop/main.py</x:t>
        </x:is>
      </x:c>
      <x:c r="B25" s="34" t="n">
        <x:v>3</x:v>
      </x:c>
      <x:c r="C25" s="34" t="inlineStr">
        <x:is>
          <x:t xml:space="preserve">individual</x:t>
        </x:is>
      </x:c>
      <x:c r="D25" s="34" t="inlineStr">
        <x:is>
          <x:t xml:space="preserve">over_specified</x:t>
        </x:is>
      </x:c>
      <x:c r="E25" s="44" t="inlineStr">
        <x:is>
          <x:t xml:space="preserve">Hold SPY with all my money. Keep track of the highest close since I bought. Use a 14 period ATR. If the close drops below the highest close minus 3 times the ATR, sell everything, then buy again on the next bar and start tracking the high over. Minute data, Jan 1 2022 to Dec 31 2024, 100k. Also plot the stop level and the trailing high on a chart called Stop, name the class AtrTrailingStop, and don't do anything until the ATR has enough data.</x:t>
        </x:is>
      </x:c>
      <x:c r="F25" s="34"/>
      <x:c r="G25" s="34"/>
      <x:c r="H25" s="34"/>
      <x:c r="I25" s="34"/>
      <x:c r="J25" s="34"/>
      <x:c r="K25" s="34"/>
      <x:c r="L25" s="34"/>
      <x:c r="M25" s="34"/>
      <x:c r="N25" s="34"/>
      <x:c r="O25" s="36" t="n"/>
      <x:c r="P25" s="36" t="n"/>
      <x:c r="Q25" s="35"/>
    </x:row>
    <x:row r="26" s="23" customFormat="1" ht="52" customHeight="1">
      <x:c r="A26" s="34" t="inlineStr">
        <x:is>
          <x:t xml:space="preserve">equity-atr-volatility-stop/main.py</x:t>
        </x:is>
      </x:c>
      <x:c r="B26" s="34" t="n">
        <x:v>4</x:v>
      </x:c>
      <x:c r="C26" s="34" t="inlineStr">
        <x:is>
          <x:t xml:space="preserve">startup</x:t>
        </x:is>
      </x:c>
      <x:c r="D26" s="34" t="inlineStr">
        <x:is>
          <x:t xml:space="preserve">vague</x:t>
        </x:is>
      </x:c>
      <x:c r="E26" s="44" t="inlineStr">
        <x:is>
          <x:t xml:space="preserve">SPY long-only w/ chandelier stop, ATR(14) x3, immediate re-entry. 2022-2024. Fast.</x:t>
        </x:is>
      </x:c>
      <x:c r="F26" s="34"/>
      <x:c r="G26" s="34"/>
      <x:c r="H26" s="34"/>
      <x:c r="I26" s="34"/>
      <x:c r="J26" s="34"/>
      <x:c r="K26" s="34"/>
      <x:c r="L26" s="34"/>
      <x:c r="M26" s="34"/>
      <x:c r="N26" s="34"/>
      <x:c r="O26" s="36" t="n"/>
      <x:c r="P26" s="36" t="n"/>
      <x:c r="Q26" s="35"/>
    </x:row>
    <x:row r="27" s="23" customFormat="1" ht="52" customHeight="1">
      <x:c r="A27" s="34" t="inlineStr">
        <x:is>
          <x:t xml:space="preserve">equity-atr-volatility-stop/main.py</x:t>
        </x:is>
      </x:c>
      <x:c r="B27" s="34" t="n">
        <x:v>5</x:v>
      </x:c>
      <x:c r="C27" s="34" t="inlineStr">
        <x:is>
          <x:t xml:space="preserve">startup</x:t>
        </x:is>
      </x:c>
      <x:c r="D27" s="34" t="inlineStr">
        <x:is>
          <x:t xml:space="preserve">precise</x:t>
        </x:is>
      </x:c>
      <x:c r="E27" s="44" t="inlineStr">
        <x:is>
          <x:t xml:space="preserve">SPY minute, long 100%. Trailing high = max close since entry. Stop = high - 3*ATR(14). Close &lt; stop -&gt; liquidate, re-enter 100% next bar, reset high. 2022-01-01 to 2024-12-31, 100k.</x:t>
        </x:is>
      </x:c>
      <x:c r="F27" s="34"/>
      <x:c r="G27" s="34"/>
      <x:c r="H27" s="34"/>
      <x:c r="I27" s="34"/>
      <x:c r="J27" s="34"/>
      <x:c r="K27" s="34"/>
      <x:c r="L27" s="34"/>
      <x:c r="M27" s="34"/>
      <x:c r="N27" s="34"/>
      <x:c r="O27" s="36" t="n"/>
      <x:c r="P27" s="36" t="n"/>
      <x:c r="Q27" s="35"/>
    </x:row>
    <x:row r="28" s="23" customFormat="1" ht="77" customHeight="1">
      <x:c r="A28" s="34" t="inlineStr">
        <x:is>
          <x:t xml:space="preserve">equity-atr-volatility-stop/main.py</x:t>
        </x:is>
      </x:c>
      <x:c r="B28" s="34" t="n">
        <x:v>6</x:v>
      </x:c>
      <x:c r="C28" s="34" t="inlineStr">
        <x:is>
          <x:t xml:space="preserve">startup</x:t>
        </x:is>
      </x:c>
      <x:c r="D28" s="34" t="inlineStr">
        <x:is>
          <x:t xml:space="preserve">over_specified</x:t>
        </x:is>
      </x:c>
      <x:c r="E28" s="44" t="inlineStr">
        <x:is>
          <x:t xml:space="preserve">SPY minute, long 100%. Trailing high = max close since entry. Stop = high - 3*ATR(14). Close &lt; stop -&gt; liquidate, re-enter 100% next bar, reset high. 2022-01-01 to 2024-12-31, 100k. Auto warm-up, gate on atr.is_ready, plot stop + trailing high, snake_case, one class, keep state in two attributes max.</x:t>
        </x:is>
      </x:c>
      <x:c r="F28" s="34"/>
      <x:c r="G28" s="34"/>
      <x:c r="H28" s="34"/>
      <x:c r="I28" s="34"/>
      <x:c r="J28" s="34"/>
      <x:c r="K28" s="34"/>
      <x:c r="L28" s="34"/>
      <x:c r="M28" s="34"/>
      <x:c r="N28" s="34"/>
      <x:c r="O28" s="36" t="n"/>
      <x:c r="P28" s="36" t="n"/>
      <x:c r="Q28" s="35"/>
    </x:row>
    <x:row r="29" s="23" customFormat="1" ht="52" customHeight="1">
      <x:c r="A29" s="34" t="inlineStr">
        <x:is>
          <x:t xml:space="preserve">equity-atr-volatility-stop/main.py</x:t>
        </x:is>
      </x:c>
      <x:c r="B29" s="34" t="n">
        <x:v>7</x:v>
      </x:c>
      <x:c r="C29" s="34" t="inlineStr">
        <x:is>
          <x:t xml:space="preserve">institutional</x:t>
        </x:is>
      </x:c>
      <x:c r="D29" s="34" t="inlineStr">
        <x:is>
          <x:t xml:space="preserve">vague</x:t>
        </x:is>
      </x:c>
      <x:c r="E29" s="44" t="inlineStr">
        <x:is>
          <x:t xml:space="preserve">We need a long-only SPY position with an ATR-based chandelier exit and automatic re-entry for 2022 through 2024, consistent with our internal implementation. Standard paper account. Use the desk's usual ATR multiple.</x:t>
        </x:is>
      </x:c>
      <x:c r="F29" s="34"/>
      <x:c r="G29" s="34"/>
      <x:c r="H29" s="34"/>
      <x:c r="I29" s="34"/>
      <x:c r="J29" s="34"/>
      <x:c r="K29" s="34"/>
      <x:c r="L29" s="34"/>
      <x:c r="M29" s="34"/>
      <x:c r="N29" s="34"/>
      <x:c r="O29" s="36" t="n"/>
      <x:c r="P29" s="36" t="n"/>
      <x:c r="Q29" s="35"/>
    </x:row>
    <x:row r="30" s="23" customFormat="1" ht="103" customHeight="1">
      <x:c r="A30" s="34" t="inlineStr">
        <x:is>
          <x:t xml:space="preserve">equity-atr-volatility-stop/main.py</x:t>
        </x:is>
      </x:c>
      <x:c r="B30" s="34" t="n">
        <x:v>8</x:v>
      </x:c>
      <x:c r="C30" s="34" t="inlineStr">
        <x:is>
          <x:t xml:space="preserve">institutional</x:t>
        </x:is>
      </x:c>
      <x:c r="D30" s="34" t="inlineStr">
        <x:is>
          <x:t xml:space="preserve">precise</x:t>
        </x:is>
      </x:c>
      <x:c r="E30" s="44" t="inlineStr">
        <x:is>
          <x:t xml:space="preserve">Implement the desk's ATR chandelier stop reference on SPY. Resolution: minute. Window: 2022-01-01 to 2024-12-31. Capital: 100,000. Indicator: ATR, 14 periods. Rules: when flat, allocate 100% long and set the trailing high to the entry close; update the trailing high with each higher close; stop level is trailing high minus 3 times ATR; if a close falls below the stop, liquidate, then re-enter 100% on the next bar and reset the trailing high.</x:t>
        </x:is>
      </x:c>
      <x:c r="F30" s="34"/>
      <x:c r="G30" s="34"/>
      <x:c r="H30" s="34"/>
      <x:c r="I30" s="34"/>
      <x:c r="J30" s="34"/>
      <x:c r="K30" s="34"/>
      <x:c r="L30" s="34"/>
      <x:c r="M30" s="34"/>
      <x:c r="N30" s="34"/>
      <x:c r="O30" s="36" t="n"/>
      <x:c r="P30" s="36" t="n"/>
      <x:c r="Q30" s="35"/>
    </x:row>
    <x:row r="31" s="23" customFormat="1" ht="129" customHeight="1">
      <x:c r="A31" s="34" t="inlineStr">
        <x:is>
          <x:t xml:space="preserve">equity-atr-volatility-stop/main.py</x:t>
        </x:is>
      </x:c>
      <x:c r="B31" s="34" t="n">
        <x:v>9</x:v>
      </x:c>
      <x:c r="C31" s="34" t="inlineStr">
        <x:is>
          <x:t xml:space="preserve">institutional</x:t>
        </x:is>
      </x:c>
      <x:c r="D31" s="34" t="inlineStr">
        <x:is>
          <x:t xml:space="preserve">over_specified</x:t>
        </x:is>
      </x:c>
      <x:c r="E31" s="44" t="inlineStr">
        <x:is>
          <x:t xml:space="preserve">Implement the desk's ATR chandelier stop reference on SPY. Resolution: minute. Window: 2022-01-01 to 2024-12-31. Capital: 100,000. Indicator: ATR, 14 periods, automatic warm-up. Rules: when flat, allocate 100% long and set the trailing high to the entry close; update the trailing high with each higher close; stop level is trailing high minus 3 times ATR; if a close falls below the stop, liquidate, then re-enter 100% on the next bar and reset the trailing high. Compliance: plot the stop level and trailing high for audit, no signals before the ATR is ready, snake_case API per our style guide, type annotations, no leverage, no short positions.</x:t>
        </x:is>
      </x:c>
      <x:c r="F31" s="34"/>
      <x:c r="G31" s="34"/>
      <x:c r="H31" s="34"/>
      <x:c r="I31" s="34" t="n">
        <x:v>0</x:v>
      </x:c>
      <x:c r="J31" s="34" t="n">
        <x:v>1</x:v>
      </x:c>
      <x:c r="K31" s="34"/>
      <x:c r="L31" s="34"/>
      <x:c r="M31" s="34"/>
      <x:c r="N31" s="34"/>
      <x:c r="O31" s="36" t="n"/>
      <x:c r="P31" s="36" t="n"/>
      <x:c r="Q31" s="44" t="str">
        <x:v>Original Qwen baseline. runtime_error. Algorithm.Initialize() Error: During the algorithm initialization, the following exception has occurred: Loader.TryCreatePythonAlgorithm(): Unable to import python module ./cache/algorithm/project/main.pyc. AlgorithmPythonWrapper(): name 'datetime' is not defined at AtrChandelierStopAlgorithm START_DATE: datetime = datetime(2022, 1, 1) ^^^^^^^^ in main.py: li</x:v>
      </x:c>
    </x:row>
    <x:row r="32" s="23" customFormat="1" ht="142" customHeight="1">
      <x:c r="A32" s="34" t="inlineStr">
        <x:is>
          <x:t xml:space="preserve">equity-atr-volatility-stop/main.py</x:t>
        </x:is>
      </x:c>
      <x:c r="B32" s="34" t="n">
        <x:v>10</x:v>
      </x:c>
      <x:c r="C32" s="34" t="inlineStr">
        <x:is>
          <x:t xml:space="preserve">reference</x:t>
        </x:is>
      </x:c>
      <x:c r="D32" s="34" t="inlineStr">
        <x:is>
          <x:t xml:space="preserve">ceiling</x:t>
        </x:is>
      </x:c>
      <x:c r="E32" s="44" t="inlineStr">
        <x:is>
          <x:t xml:space="preserve">QuantConnect Python, snake_case. initialize: set_start_date(2022, 1, 1), set_end_date(2024, 12, 31), set_cash(100000), settings.automatic_indicator_warm_up = True, spy = add_equity('SPY', Resolution.MINUTE), atr = self.atr(spy.symbol, 14), self._trailing_high = 0.0, self._waiting_to_reenter = False. on_data: return unless atr.is_ready and a bar exists; if _waiting_to_reenter: set_holdings(spy, 1.0), _trailing_high = close, clear flag, return; if not portfolio.invested: set_holdings(spy, 1.0), _trailing_high = close, return; _trailing_high = max(_trailing_high, close); stop = _trailing_high - 3.0 * atr.current.value; plot both; if close &lt; stop: liquidate(spy), _waiting_to_reenter = True, _trailing_high = 0.0.</x:t>
        </x:is>
      </x:c>
      <x:c r="F32" s="34"/>
      <x:c r="G32" s="34"/>
      <x:c r="H32" s="34"/>
      <x:c r="I32" s="34"/>
      <x:c r="J32" s="34"/>
      <x:c r="K32" s="34"/>
      <x:c r="L32" s="34"/>
      <x:c r="M32" s="34"/>
      <x:c r="N32" s="34"/>
      <x:c r="O32" s="36" t="n"/>
      <x:c r="P32" s="36" t="n"/>
      <x:c r="Q32" s="35"/>
    </x:row>
    <x:row r="33" s="23" customFormat="1" ht="52" customHeight="1">
      <x:c r="A33" s="37" t="inlineStr">
        <x:is>
          <x:t xml:space="preserve">equity-monthly-roc-rotation/main.py</x:t>
        </x:is>
      </x:c>
      <x:c r="B33" s="37" t="n">
        <x:v>1</x:v>
      </x:c>
      <x:c r="C33" s="37" t="inlineStr">
        <x:is>
          <x:t xml:space="preserve">individual</x:t>
        </x:is>
      </x:c>
      <x:c r="D33" s="37" t="inlineStr">
        <x:is>
          <x:t xml:space="preserve">vague</x:t>
        </x:is>
      </x:c>
      <x:c r="E33" s="44" t="inlineStr">
        <x:is>
          <x:t xml:space="preserve">Make a bot that once a month moves my money into whichever of SPY, EFA, EEM, AGG and GLD have been doing best lately. Hold a few of them. If everything is down just sit in cash. 2022 to 2024.</x:t>
        </x:is>
      </x:c>
      <x:c r="F33" s="34"/>
      <x:c r="G33" s="34"/>
      <x:c r="H33" s="34"/>
      <x:c r="I33" s="34"/>
      <x:c r="J33" s="34"/>
      <x:c r="K33" s="34"/>
      <x:c r="L33" s="34"/>
      <x:c r="M33" s="34"/>
      <x:c r="N33" s="34"/>
      <x:c r="O33" s="36" t="n"/>
      <x:c r="P33" s="36" t="n"/>
      <x:c r="Q33" s="35"/>
    </x:row>
    <x:row r="34" s="23" customFormat="1" ht="90" customHeight="1">
      <x:c r="A34" s="37" t="inlineStr">
        <x:is>
          <x:t xml:space="preserve">equity-monthly-roc-rotation/main.py</x:t>
        </x:is>
      </x:c>
      <x:c r="B34" s="37" t="n">
        <x:v>2</x:v>
      </x:c>
      <x:c r="C34" s="37" t="inlineStr">
        <x:is>
          <x:t xml:space="preserve">individual</x:t>
        </x:is>
      </x:c>
      <x:c r="D34" s="37" t="inlineStr">
        <x:is>
          <x:t xml:space="preserve">precise</x:t>
        </x:is>
      </x:c>
      <x:c r="E34" s="44" t="inlineStr">
        <x:is>
          <x:t xml:space="preserve">Trade SPY, EFA, EEM, AGG and GLD. For each one use the 60 day rate of change on daily bars. On the first trading day of each month, put a third of my money into each of the top 3 by rate of change and sell the others. If all five are negative, sell everything and hold cash. Jan 1 2022 to Dec 31 2024, 100k.</x:t>
        </x:is>
      </x:c>
      <x:c r="F34" s="34"/>
      <x:c r="G34" s="34"/>
      <x:c r="H34" s="34"/>
      <x:c r="I34" s="34" t="n">
        <x:v>0</x:v>
      </x:c>
      <x:c r="J34" s="34" t="n">
        <x:v>1</x:v>
      </x:c>
      <x:c r="K34" s="34"/>
      <x:c r="L34" s="34"/>
      <x:c r="M34" s="34"/>
      <x:c r="N34" s="34"/>
      <x:c r="O34" s="36" t="n"/>
      <x:c r="P34" s="36" t="n"/>
      <x:c r="Q34" s="44" t="str">
        <x:v>Original Qwen baseline. runtime_error. 2022-01-01 00:00:00 During the algorithm initialization, the following exception has occurred: 'Equity' object has no attribute 'SetDataConsolidation' at Initialize equity.SetDataConsolidation(Consolidation.DAILY) ^^^^^^^^^^^^^^^^^^^^^^^^^^^ in main.py: line 22 'Equity' object has no attribute 'SetDataConsolidation'</x:v>
      </x:c>
    </x:row>
    <x:row r="35" s="23" customFormat="1" ht="103" customHeight="1">
      <x:c r="A35" s="37" t="inlineStr">
        <x:is>
          <x:t xml:space="preserve">equity-monthly-roc-rotation/main.py</x:t>
        </x:is>
      </x:c>
      <x:c r="B35" s="37" t="n">
        <x:v>3</x:v>
      </x:c>
      <x:c r="C35" s="37" t="inlineStr">
        <x:is>
          <x:t xml:space="preserve">individual</x:t>
        </x:is>
      </x:c>
      <x:c r="D35" s="37" t="inlineStr">
        <x:is>
          <x:t xml:space="preserve">over_specified</x:t>
        </x:is>
      </x:c>
      <x:c r="E35" s="44" t="inlineStr">
        <x:is>
          <x:t xml:space="preserve">Trade SPY, EFA, EEM, AGG and GLD. For each one use the 60 day rate of change on daily bars. On the first trading day of each month, a minute after the open, put a third of my money into each of the top 3 by rate of change and sell the others. If all five are negative, sell everything and hold cash. Jan 1 2022 to Dec 31 2024, 100k. Also call the class MonthlyRotation, add a comment explaining the cash rule, and make the 60 and the 3 named variables so I can tweak them.</x:t>
        </x:is>
      </x:c>
      <x:c r="F35" s="34"/>
      <x:c r="G35" s="34"/>
      <x:c r="H35" s="34"/>
      <x:c r="I35" s="34"/>
      <x:c r="J35" s="34"/>
      <x:c r="K35" s="34"/>
      <x:c r="L35" s="34"/>
      <x:c r="M35" s="34"/>
      <x:c r="N35" s="34"/>
      <x:c r="O35" s="36" t="n"/>
      <x:c r="P35" s="36" t="n"/>
      <x:c r="Q35" s="35"/>
    </x:row>
    <x:row r="36" s="23" customFormat="1" ht="52" customHeight="1">
      <x:c r="A36" s="37" t="inlineStr">
        <x:is>
          <x:t xml:space="preserve">equity-monthly-roc-rotation/main.py</x:t>
        </x:is>
      </x:c>
      <x:c r="B36" s="37" t="n">
        <x:v>4</x:v>
      </x:c>
      <x:c r="C36" s="37" t="inlineStr">
        <x:is>
          <x:t xml:space="preserve">startup</x:t>
        </x:is>
      </x:c>
      <x:c r="D36" s="37" t="inlineStr">
        <x:is>
          <x:t xml:space="preserve">vague</x:t>
        </x:is>
      </x:c>
      <x:c r="E36" s="44" t="inlineStr">
        <x:is>
          <x:t xml:space="preserve">Monthly top-3 ROC rotation: SPY/EFA/EEM/AGG/GLD. Cash if all neg. 2022-2024. Quick.</x:t>
        </x:is>
      </x:c>
      <x:c r="F36" s="34"/>
      <x:c r="G36" s="34"/>
      <x:c r="H36" s="34"/>
      <x:c r="I36" s="34"/>
      <x:c r="J36" s="34"/>
      <x:c r="K36" s="34"/>
      <x:c r="L36" s="34"/>
      <x:c r="M36" s="34"/>
      <x:c r="N36" s="34"/>
      <x:c r="O36" s="36" t="n"/>
      <x:c r="P36" s="36" t="n"/>
      <x:c r="Q36" s="35"/>
    </x:row>
    <x:row r="37" s="23" customFormat="1" ht="52" customHeight="1">
      <x:c r="A37" s="37" t="inlineStr">
        <x:is>
          <x:t xml:space="preserve">equity-monthly-roc-rotation/main.py</x:t>
        </x:is>
      </x:c>
      <x:c r="B37" s="37" t="n">
        <x:v>5</x:v>
      </x:c>
      <x:c r="C37" s="37" t="inlineStr">
        <x:is>
          <x:t xml:space="preserve">startup</x:t>
        </x:is>
      </x:c>
      <x:c r="D37" s="37" t="inlineStr">
        <x:is>
          <x:t xml:space="preserve">precise</x:t>
        </x:is>
      </x:c>
      <x:c r="E37" s="44" t="inlineStr">
        <x:is>
          <x:t xml:space="preserve">SPY EFA EEM AGG GLD, ROC(60) daily. Month start +1m: top 3 by ROC at 1/3 each, liquidate rest; all ROC &lt; 0 -&gt; cash. 2022-01-01 to 2024-12-31, 100k.</x:t>
        </x:is>
      </x:c>
      <x:c r="F37" s="34"/>
      <x:c r="G37" s="34"/>
      <x:c r="H37" s="34"/>
      <x:c r="I37" s="34"/>
      <x:c r="J37" s="34"/>
      <x:c r="K37" s="34"/>
      <x:c r="L37" s="34"/>
      <x:c r="M37" s="34"/>
      <x:c r="N37" s="34"/>
      <x:c r="O37" s="36" t="n"/>
      <x:c r="P37" s="36" t="n"/>
      <x:c r="Q37" s="35"/>
    </x:row>
    <x:row r="38" s="23" customFormat="1" ht="90" customHeight="1">
      <x:c r="A38" s="37" t="inlineStr">
        <x:is>
          <x:t xml:space="preserve">equity-monthly-roc-rotation/main.py</x:t>
        </x:is>
      </x:c>
      <x:c r="B38" s="37" t="n">
        <x:v>6</x:v>
      </x:c>
      <x:c r="C38" s="37" t="inlineStr">
        <x:is>
          <x:t xml:space="preserve">startup</x:t>
        </x:is>
      </x:c>
      <x:c r="D38" s="37" t="inlineStr">
        <x:is>
          <x:t xml:space="preserve">over_specified</x:t>
        </x:is>
      </x:c>
      <x:c r="E38" s="44" t="inlineStr">
        <x:is>
          <x:t xml:space="preserve">SPY EFA EEM AGG GLD at minute res, ROC(60) on daily bars. Month start +1m after open: top 3 by ROC at 1/3 each via PortfolioTarget, liquidate rest; all ROC &lt; 0 -&gt; liquidate all. 2022-01-01 to 2024-12-31, 100k. Auto warm-up, snake_case, attach roc to each security object, no history() calls.</x:t>
        </x:is>
      </x:c>
      <x:c r="F38" s="34"/>
      <x:c r="G38" s="34"/>
      <x:c r="H38" s="34"/>
      <x:c r="I38" s="34" t="n">
        <x:v>0</x:v>
      </x:c>
      <x:c r="J38" s="34" t="n">
        <x:v>1</x:v>
      </x:c>
      <x:c r="K38" s="34"/>
      <x:c r="L38" s="34"/>
      <x:c r="M38" s="34"/>
      <x:c r="N38" s="34"/>
      <x:c r="O38" s="36" t="n"/>
      <x:c r="P38" s="36" t="n"/>
      <x:c r="Q38" s="44" t="str">
        <x:v>Original Qwen baseline. runtime_error. [ERROR] FATAL UNHANDLED EXCEPTION:Engine.Run(): During the algorithm initialization, the following exception has occurred: type object 'BrokerageName' has no attribute 'INTERACTIVE_BROKERS' Did you mean: 'INTERACTIVE_BROKERS_FIX', 'INTERACTIVE_BROKERS_BROKERAGE'?, at initialize, self.set_brokerage_model(BrokerageName.INTERACTIVE_BROKERS, AccountType.MARGIN), </x:v>
      </x:c>
    </x:row>
    <x:row r="39" s="23" customFormat="1" ht="64" customHeight="1">
      <x:c r="A39" s="37" t="inlineStr">
        <x:is>
          <x:t xml:space="preserve">equity-monthly-roc-rotation/main.py</x:t>
        </x:is>
      </x:c>
      <x:c r="B39" s="37" t="n">
        <x:v>7</x:v>
      </x:c>
      <x:c r="C39" s="37" t="inlineStr">
        <x:is>
          <x:t xml:space="preserve">institutional</x:t>
        </x:is>
      </x:c>
      <x:c r="D39" s="37" t="inlineStr">
        <x:is>
          <x:t xml:space="preserve">vague</x:t>
        </x:is>
      </x:c>
      <x:c r="E39" s="44" t="inlineStr">
        <x:is>
          <x:t xml:space="preserve">We need a monthly cross-asset momentum rotation across US equity, developed ex-US, emerging markets, aggregate bonds and gold (SPY, EFA, EEM, AGG, GLD) for 2022 through 2024, consistent with our internal implementation, with a cash fallback in broad drawdowns. Standard paper account.</x:t>
        </x:is>
      </x:c>
      <x:c r="F39" s="34"/>
      <x:c r="G39" s="34"/>
      <x:c r="H39" s="34"/>
      <x:c r="I39" s="34"/>
      <x:c r="J39" s="34"/>
      <x:c r="K39" s="34"/>
      <x:c r="L39" s="34"/>
      <x:c r="M39" s="34"/>
      <x:c r="N39" s="34"/>
      <x:c r="O39" s="36" t="n"/>
      <x:c r="P39" s="36" t="n"/>
      <x:c r="Q39" s="35"/>
    </x:row>
    <x:row r="40" s="23" customFormat="1" ht="90" customHeight="1">
      <x:c r="A40" s="37" t="inlineStr">
        <x:is>
          <x:t xml:space="preserve">equity-monthly-roc-rotation/main.py</x:t>
        </x:is>
      </x:c>
      <x:c r="B40" s="37" t="n">
        <x:v>8</x:v>
      </x:c>
      <x:c r="C40" s="37" t="inlineStr">
        <x:is>
          <x:t xml:space="preserve">institutional</x:t>
        </x:is>
      </x:c>
      <x:c r="D40" s="37" t="inlineStr">
        <x:is>
          <x:t xml:space="preserve">precise</x:t>
        </x:is>
      </x:c>
      <x:c r="E40" s="44" t="inlineStr">
        <x:is>
          <x:t xml:space="preserve">Implement the desk's monthly ROC rotation reference. Assets: SPY, EFA, EEM, AGG, GLD. Window: 2022-01-01 to 2024-12-31. Capital: 100,000. Signal: 60-period rate of change on daily bars per asset. Schedule: first trading day of each month, one minute after the open. Rules: rank by ROC, hold the top 3 at one third each, liquidate the rest; if all five ROC values are negative, liquidate everything and hold cash.</x:t>
        </x:is>
      </x:c>
      <x:c r="F40" s="34"/>
      <x:c r="G40" s="34"/>
      <x:c r="H40" s="34"/>
      <x:c r="I40" s="34"/>
      <x:c r="J40" s="34"/>
      <x:c r="K40" s="34"/>
      <x:c r="L40" s="34"/>
      <x:c r="M40" s="34"/>
      <x:c r="N40" s="34"/>
      <x:c r="O40" s="36" t="n"/>
      <x:c r="P40" s="36" t="n"/>
      <x:c r="Q40" s="35"/>
    </x:row>
    <x:row r="41" s="23" customFormat="1" ht="129" customHeight="1">
      <x:c r="A41" s="37" t="inlineStr">
        <x:is>
          <x:t xml:space="preserve">equity-monthly-roc-rotation/main.py</x:t>
        </x:is>
      </x:c>
      <x:c r="B41" s="37" t="n">
        <x:v>9</x:v>
      </x:c>
      <x:c r="C41" s="37" t="inlineStr">
        <x:is>
          <x:t xml:space="preserve">institutional</x:t>
        </x:is>
      </x:c>
      <x:c r="D41" s="37" t="inlineStr">
        <x:is>
          <x:t xml:space="preserve">over_specified</x:t>
        </x:is>
      </x:c>
      <x:c r="E41" s="44" t="inlineStr">
        <x:is>
          <x:t xml:space="preserve">Implement the desk's monthly ROC rotation reference. Assets: SPY, EFA, EEM, AGG, GLD at minute resolution. Window: 2022-01-01 to 2024-12-31. Capital: 100,000. Signal: 60-period rate of change on daily bars per asset, automatic warm-up. Schedule: first trading day of each month, one minute after the open, via a scheduled event. Rules: rank by ROC, hold the top 3 at one third each using portfolio targets with liquidate_existing_holdings, liquidate the rest; if all five ROC values are negative, liquidate everything and hold cash. Compliance: equal weights only, no leverage, long-only, snake_case API per style guide, type annotations.</x:t>
        </x:is>
      </x:c>
      <x:c r="F41" s="34"/>
      <x:c r="G41" s="34"/>
      <x:c r="H41" s="34"/>
      <x:c r="I41" s="34"/>
      <x:c r="J41" s="34"/>
      <x:c r="K41" s="34"/>
      <x:c r="L41" s="34"/>
      <x:c r="M41" s="34"/>
      <x:c r="N41" s="34"/>
      <x:c r="O41" s="36" t="n"/>
      <x:c r="P41" s="36" t="n"/>
      <x:c r="Q41" s="35"/>
    </x:row>
    <x:row r="42" s="23" customFormat="1" ht="142" customHeight="1">
      <x:c r="A42" s="37" t="inlineStr">
        <x:is>
          <x:t xml:space="preserve">equity-monthly-roc-rotation/main.py</x:t>
        </x:is>
      </x:c>
      <x:c r="B42" s="37" t="n">
        <x:v>10</x:v>
      </x:c>
      <x:c r="C42" s="37" t="inlineStr">
        <x:is>
          <x:t xml:space="preserve">reference</x:t>
        </x:is>
      </x:c>
      <x:c r="D42" s="37" t="inlineStr">
        <x:is>
          <x:t xml:space="preserve">ceiling</x:t>
        </x:is>
      </x:c>
      <x:c r="E42" s="44" t="inlineStr">
        <x:is>
          <x:t xml:space="preserve">QuantConnect Python, snake_case. initialize: set_start_date(2022, 1, 1), set_end_date(2024, 12, 31), set_cash(100000), settings.automatic_indicator_warm_up = True; for ticker in SPY, EFA, EEM, AGG, GLD: equity = add_equity(ticker, Resolution.MINUTE), equity.roc = self.roc(equity, 60, Resolution.DAILY); schedule.on(date_rules.month_start('SPY'), time_rules.after_market_open('SPY', 1), self._rebalance). _rebalance: securities = the five; if all(s.roc.current.value &lt; 0): liquidate(); return; top = sorted(securities, key=lambda s: s.roc.current.value, reverse=True)[:3]; set_holdings([PortfolioTarget(s.symbol, 1/3) for s in top], liquidate_existing_holdings=True).</x:t>
        </x:is>
      </x:c>
      <x:c r="F42" s="34"/>
      <x:c r="G42" s="34"/>
      <x:c r="H42" s="34"/>
      <x:c r="I42" s="34"/>
      <x:c r="J42" s="34"/>
      <x:c r="K42" s="34"/>
      <x:c r="L42" s="34"/>
      <x:c r="M42" s="34"/>
      <x:c r="N42" s="34"/>
      <x:c r="O42" s="36" t="n"/>
      <x:c r="P42" s="36" t="n"/>
      <x:c r="Q42" s="35"/>
    </x:row>
    <x:row r="43" s="23" customFormat="1" ht="52" customHeight="1">
      <x:c r="A43" s="34" t="inlineStr">
        <x:is>
          <x:t xml:space="preserve">equity-sixty-forty-portfolio/main.py</x:t>
        </x:is>
      </x:c>
      <x:c r="B43" s="34" t="n">
        <x:v>1</x:v>
      </x:c>
      <x:c r="C43" s="34" t="inlineStr">
        <x:is>
          <x:t xml:space="preserve">individual</x:t>
        </x:is>
      </x:c>
      <x:c r="D43" s="34" t="inlineStr">
        <x:is>
          <x:t xml:space="preserve">vague</x:t>
        </x:is>
      </x:c>
      <x:c r="E43" s="44" t="inlineStr">
        <x:is>
          <x:t xml:space="preserve">Set me up a classic 60/40 with SPY and TLT that rebalances every few months, but only if it's drifted a decent amount. 2022 to 2024.</x:t>
        </x:is>
      </x:c>
      <x:c r="F43" s="34"/>
      <x:c r="G43" s="34"/>
      <x:c r="H43" s="34"/>
      <x:c r="I43" s="34"/>
      <x:c r="J43" s="34"/>
      <x:c r="K43" s="34"/>
      <x:c r="L43" s="34"/>
      <x:c r="M43" s="34"/>
      <x:c r="N43" s="34"/>
      <x:c r="O43" s="36" t="n"/>
      <x:c r="P43" s="36" t="n"/>
      <x:c r="Q43" s="35"/>
    </x:row>
    <x:row r="44" s="23" customFormat="1" ht="64" customHeight="1">
      <x:c r="A44" s="34" t="inlineStr">
        <x:is>
          <x:t xml:space="preserve">equity-sixty-forty-portfolio/main.py</x:t>
        </x:is>
      </x:c>
      <x:c r="B44" s="34" t="n">
        <x:v>2</x:v>
      </x:c>
      <x:c r="C44" s="34" t="inlineStr">
        <x:is>
          <x:t xml:space="preserve">individual</x:t>
        </x:is>
      </x:c>
      <x:c r="D44" s="34" t="inlineStr">
        <x:is>
          <x:t xml:space="preserve">precise</x:t>
        </x:is>
      </x:c>
      <x:c r="E44" s="44" t="inlineStr">
        <x:is>
          <x:t xml:space="preserve">60% SPY, 40% TLT. Buy on the first bar. At the start of every quarter check the weights and if either is more than 5 percentage points off, rebalance back to 60/40, otherwise leave it. Minute data, Jan 1 2022 to Dec 31 2024, 100k.</x:t>
        </x:is>
      </x:c>
      <x:c r="F44" s="34"/>
      <x:c r="G44" s="34"/>
      <x:c r="H44" s="34"/>
      <x:c r="I44" s="34"/>
      <x:c r="J44" s="34"/>
      <x:c r="K44" s="34"/>
      <x:c r="L44" s="34"/>
      <x:c r="M44" s="34"/>
      <x:c r="N44" s="34"/>
      <x:c r="O44" s="36" t="n"/>
      <x:c r="P44" s="36" t="n"/>
      <x:c r="Q44" s="35"/>
    </x:row>
    <x:row r="45" s="23" customFormat="1" ht="90" customHeight="1">
      <x:c r="A45" s="34" t="inlineStr">
        <x:is>
          <x:t xml:space="preserve">equity-sixty-forty-portfolio/main.py</x:t>
        </x:is>
      </x:c>
      <x:c r="B45" s="34" t="n">
        <x:v>3</x:v>
      </x:c>
      <x:c r="C45" s="34" t="inlineStr">
        <x:is>
          <x:t xml:space="preserve">individual</x:t>
        </x:is>
      </x:c>
      <x:c r="D45" s="34" t="inlineStr">
        <x:is>
          <x:t xml:space="preserve">over_specified</x:t>
        </x:is>
      </x:c>
      <x:c r="E45" s="44" t="inlineStr">
        <x:is>
          <x:t xml:space="preserve">60% SPY, 40% TLT. Buy on the first bar. At the start of every quarter, a minute after the open, check the weights and if either is more than 5 percentage points off, rebalance back to 60/40, otherwise leave it. Minute data, Jan 1 2022 to Dec 31 2024, 100k. Call the class SixtyForty, make the 5% a named constant, and log a line whenever a rebalance is skipped.</x:t>
        </x:is>
      </x:c>
      <x:c r="F45" s="34"/>
      <x:c r="G45" s="34"/>
      <x:c r="H45" s="34"/>
      <x:c r="I45" s="34"/>
      <x:c r="J45" s="34"/>
      <x:c r="K45" s="34"/>
      <x:c r="L45" s="34"/>
      <x:c r="M45" s="34"/>
      <x:c r="N45" s="34"/>
      <x:c r="O45" s="36" t="n"/>
      <x:c r="P45" s="36" t="n"/>
      <x:c r="Q45" s="35"/>
    </x:row>
    <x:row r="46" s="23" customFormat="1" ht="52" customHeight="1">
      <x:c r="A46" s="34" t="inlineStr">
        <x:is>
          <x:t xml:space="preserve">equity-sixty-forty-portfolio/main.py</x:t>
        </x:is>
      </x:c>
      <x:c r="B46" s="34" t="n">
        <x:v>4</x:v>
      </x:c>
      <x:c r="C46" s="34" t="inlineStr">
        <x:is>
          <x:t xml:space="preserve">startup</x:t>
        </x:is>
      </x:c>
      <x:c r="D46" s="34" t="inlineStr">
        <x:is>
          <x:t xml:space="preserve">vague</x:t>
        </x:is>
      </x:c>
      <x:c r="E46" s="44" t="inlineStr">
        <x:is>
          <x:t xml:space="preserve">60/40 SPY/TLT, quarterly rebal, 5% drift band. 2022-2024.</x:t>
        </x:is>
      </x:c>
      <x:c r="F46" s="34"/>
      <x:c r="G46" s="34"/>
      <x:c r="H46" s="34"/>
      <x:c r="I46" s="34"/>
      <x:c r="J46" s="34"/>
      <x:c r="K46" s="34"/>
      <x:c r="L46" s="34"/>
      <x:c r="M46" s="34"/>
      <x:c r="N46" s="34"/>
      <x:c r="O46" s="36" t="n"/>
      <x:c r="P46" s="36" t="n"/>
      <x:c r="Q46" s="35"/>
    </x:row>
    <x:row r="47" s="23" customFormat="1" ht="52" customHeight="1">
      <x:c r="A47" s="34" t="inlineStr">
        <x:is>
          <x:t xml:space="preserve">equity-sixty-forty-portfolio/main.py</x:t>
        </x:is>
      </x:c>
      <x:c r="B47" s="34" t="n">
        <x:v>5</x:v>
      </x:c>
      <x:c r="C47" s="34" t="inlineStr">
        <x:is>
          <x:t xml:space="preserve">startup</x:t>
        </x:is>
      </x:c>
      <x:c r="D47" s="34" t="inlineStr">
        <x:is>
          <x:t xml:space="preserve">precise</x:t>
        </x:is>
      </x:c>
      <x:c r="E47" s="44" t="inlineStr">
        <x:is>
          <x:t xml:space="preserve">SPY 0.6 / TLT 0.4, minute. Allocate bar 1. Quarter start +1m: rebalance only if any |weight - target| &gt; 0.05. 2022-01-01 to 2024-12-31, 100k.</x:t>
        </x:is>
      </x:c>
      <x:c r="F47" s="34"/>
      <x:c r="G47" s="34"/>
      <x:c r="H47" s="34"/>
      <x:c r="I47" s="34"/>
      <x:c r="J47" s="34"/>
      <x:c r="K47" s="34"/>
      <x:c r="L47" s="34"/>
      <x:c r="M47" s="34"/>
      <x:c r="N47" s="34"/>
      <x:c r="O47" s="36" t="n"/>
      <x:c r="P47" s="36" t="n"/>
      <x:c r="Q47" s="35"/>
    </x:row>
    <x:row r="48" s="23" customFormat="1" ht="77" customHeight="1">
      <x:c r="A48" s="34" t="inlineStr">
        <x:is>
          <x:t xml:space="preserve">equity-sixty-forty-portfolio/main.py</x:t>
        </x:is>
      </x:c>
      <x:c r="B48" s="34" t="n">
        <x:v>6</x:v>
      </x:c>
      <x:c r="C48" s="34" t="inlineStr">
        <x:is>
          <x:t xml:space="preserve">startup</x:t>
        </x:is>
      </x:c>
      <x:c r="D48" s="34" t="inlineStr">
        <x:is>
          <x:t xml:space="preserve">over_specified</x:t>
        </x:is>
      </x:c>
      <x:c r="E48" s="44" t="inlineStr">
        <x:is>
          <x:t xml:space="preserve">SPY 0.6 / TLT 0.4, minute. Allocate bar 1. Quarter start +1m after open via schedule: compute weights from holdings_value / total_portfolio_value, rebalance with PortfolioTargets only if any |weight - target| &gt; 0.05. 2022-01-01 to 2024-12-31, 100k. _drift_threshold as class attr, snake_case, no magic numbers.</x:t>
        </x:is>
      </x:c>
      <x:c r="F48" s="34"/>
      <x:c r="G48" s="34"/>
      <x:c r="H48" s="34"/>
      <x:c r="I48" s="34"/>
      <x:c r="J48" s="34"/>
      <x:c r="K48" s="34"/>
      <x:c r="L48" s="34"/>
      <x:c r="M48" s="34"/>
      <x:c r="N48" s="34"/>
      <x:c r="O48" s="36" t="n"/>
      <x:c r="P48" s="36" t="n"/>
      <x:c r="Q48" s="35"/>
    </x:row>
    <x:row r="49" s="23" customFormat="1" ht="64" customHeight="1">
      <x:c r="A49" s="34" t="inlineStr">
        <x:is>
          <x:t xml:space="preserve">equity-sixty-forty-portfolio/main.py</x:t>
        </x:is>
      </x:c>
      <x:c r="B49" s="34" t="n">
        <x:v>7</x:v>
      </x:c>
      <x:c r="C49" s="34" t="inlineStr">
        <x:is>
          <x:t xml:space="preserve">institutional</x:t>
        </x:is>
      </x:c>
      <x:c r="D49" s="34" t="inlineStr">
        <x:is>
          <x:t xml:space="preserve">vague</x:t>
        </x:is>
      </x:c>
      <x:c r="E49" s="44" t="inlineStr">
        <x:is>
          <x:t xml:space="preserve">We need a 60/40 SPY/TLT benchmark portfolio for 2022 through 2024 with quarterly rebalancing and a drift tolerance so small deviations do not generate trades, consistent with our internal implementation. Standard paper account.</x:t>
        </x:is>
      </x:c>
      <x:c r="F49" s="34"/>
      <x:c r="G49" s="34"/>
      <x:c r="H49" s="34"/>
      <x:c r="I49" s="34"/>
      <x:c r="J49" s="34"/>
      <x:c r="K49" s="34"/>
      <x:c r="L49" s="34"/>
      <x:c r="M49" s="34"/>
      <x:c r="N49" s="34"/>
      <x:c r="O49" s="36" t="n"/>
      <x:c r="P49" s="36" t="n"/>
      <x:c r="Q49" s="35"/>
    </x:row>
    <x:row r="50" s="23" customFormat="1" ht="77" customHeight="1">
      <x:c r="A50" s="34" t="inlineStr">
        <x:is>
          <x:t xml:space="preserve">equity-sixty-forty-portfolio/main.py</x:t>
        </x:is>
      </x:c>
      <x:c r="B50" s="34" t="n">
        <x:v>8</x:v>
      </x:c>
      <x:c r="C50" s="34" t="inlineStr">
        <x:is>
          <x:t xml:space="preserve">institutional</x:t>
        </x:is>
      </x:c>
      <x:c r="D50" s="34" t="inlineStr">
        <x:is>
          <x:t xml:space="preserve">precise</x:t>
        </x:is>
      </x:c>
      <x:c r="E50" s="44" t="inlineStr">
        <x:is>
          <x:t xml:space="preserve">Implement the desk's 60/40 reference. Assets: SPY at 60%, TLT at 40%. Resolution: minute. Window: 2022-01-01 to 2024-12-31. Capital: 100,000. Initial allocation on the first bar. Rebalance: first trading day of each quarter, one minute after the open; skip if every weight is within 5 percentage points of target, otherwise reset to target weights.</x:t>
        </x:is>
      </x:c>
      <x:c r="F50" s="34"/>
      <x:c r="G50" s="34"/>
      <x:c r="H50" s="34"/>
      <x:c r="I50" s="34"/>
      <x:c r="J50" s="34"/>
      <x:c r="K50" s="34"/>
      <x:c r="L50" s="34"/>
      <x:c r="M50" s="34"/>
      <x:c r="N50" s="34"/>
      <x:c r="O50" s="36" t="n"/>
      <x:c r="P50" s="36" t="n"/>
      <x:c r="Q50" s="35"/>
    </x:row>
    <x:row r="51" s="23" customFormat="1" ht="129" customHeight="1">
      <x:c r="A51" s="34" t="inlineStr">
        <x:is>
          <x:t xml:space="preserve">equity-sixty-forty-portfolio/main.py</x:t>
        </x:is>
      </x:c>
      <x:c r="B51" s="34" t="n">
        <x:v>9</x:v>
      </x:c>
      <x:c r="C51" s="34" t="inlineStr">
        <x:is>
          <x:t xml:space="preserve">institutional</x:t>
        </x:is>
      </x:c>
      <x:c r="D51" s="34" t="inlineStr">
        <x:is>
          <x:t xml:space="preserve">over_specified</x:t>
        </x:is>
      </x:c>
      <x:c r="E51" s="44" t="inlineStr">
        <x:is>
          <x:t xml:space="preserve">Implement the desk's 60/40 reference. Assets: SPY at 60%, TLT at 40%. Resolution: minute. Window: 2022-01-01 to 2024-12-31. Capital: 100,000. Initial allocation on the first bar. Rebalance: first trading day of each quarter, one minute after the open, via a scheduled event; compute each weight as holdings value over total portfolio value; skip if every weight is within 5 percentage points of target, otherwise reset to target weights with portfolio targets. Compliance: drift threshold as a named class attribute for audit, no leverage, long-only, snake_case API per style guide, type annotations.</x:t>
        </x:is>
      </x:c>
      <x:c r="F51" s="34"/>
      <x:c r="G51" s="34"/>
      <x:c r="H51" s="34"/>
      <x:c r="I51" s="34"/>
      <x:c r="J51" s="34"/>
      <x:c r="K51" s="34"/>
      <x:c r="L51" s="34"/>
      <x:c r="M51" s="34"/>
      <x:c r="N51" s="34"/>
      <x:c r="O51" s="36" t="n"/>
      <x:c r="P51" s="36" t="n"/>
      <x:c r="Q51" s="35"/>
    </x:row>
    <x:row r="52" s="23" customFormat="1" ht="142" customHeight="1">
      <x:c r="A52" s="34" t="inlineStr">
        <x:is>
          <x:t xml:space="preserve">equity-sixty-forty-portfolio/main.py</x:t>
        </x:is>
      </x:c>
      <x:c r="B52" s="34" t="n">
        <x:v>10</x:v>
      </x:c>
      <x:c r="C52" s="34" t="inlineStr">
        <x:is>
          <x:t xml:space="preserve">reference</x:t>
        </x:is>
      </x:c>
      <x:c r="D52" s="34" t="inlineStr">
        <x:is>
          <x:t xml:space="preserve">ceiling</x:t>
        </x:is>
      </x:c>
      <x:c r="E52" s="44" t="inlineStr">
        <x:is>
          <x:t xml:space="preserve">QuantConnect Python, snake_case. Class attribute _drift_threshold = 0.05. initialize: set_start_date(2022, 1, 1), set_end_date(2024, 12, 31), set_cash(100000), spy = add_equity('SPY', Resolution.MINUTE).symbol, tlt = add_equity('TLT', Resolution.MINUTE).symbol, targets {spy: 0.6, tlt: 0.4}, schedule.on(date_rules.quarter_start('SPY'), time_rules.after_market_open('SPY', 1), self._rebalance). on_data: if not portfolio.invested, set_holdings to targets once. _rebalance: weights = portfolio[s].holdings_value / portfolio.total_portfolio_value; if all abs(weight - target) &lt;= 0.05 return; set_holdings([PortfolioTarget(spy, 0.6), PortfolioTarget(tlt, 0.4)]).</x:t>
        </x:is>
      </x:c>
      <x:c r="F52" s="34"/>
      <x:c r="G52" s="34"/>
      <x:c r="H52" s="34"/>
      <x:c r="I52" s="34"/>
      <x:c r="J52" s="34"/>
      <x:c r="K52" s="34"/>
      <x:c r="L52" s="34"/>
      <x:c r="M52" s="34"/>
      <x:c r="N52" s="34"/>
      <x:c r="O52" s="36" t="n"/>
      <x:c r="P52" s="36" t="n"/>
      <x:c r="Q52" s="35"/>
    </x:row>
    <x:row r="53" s="23" customFormat="1" ht="52" customHeight="1">
      <x:c r="A53" s="37" t="inlineStr">
        <x:is>
          <x:t xml:space="preserve">equity-momentum-cross-sectional-decile/main.py</x:t>
        </x:is>
      </x:c>
      <x:c r="B53" s="37" t="n">
        <x:v>1</x:v>
      </x:c>
      <x:c r="C53" s="37" t="inlineStr">
        <x:is>
          <x:t xml:space="preserve">individual</x:t>
        </x:is>
      </x:c>
      <x:c r="D53" s="37" t="inlineStr">
        <x:is>
          <x:t xml:space="preserve">vague</x:t>
        </x:is>
      </x:c>
      <x:c r="E53" s="44" t="inlineStr">
        <x:is>
          <x:t xml:space="preserve">I want a bot that buys the S&amp;P 500 stocks with the best momentum over the past year and swaps them out every month. Maybe the top 10 or so, equal amounts. 2022 to 2024.</x:t>
        </x:is>
      </x:c>
      <x:c r="F53" s="34"/>
      <x:c r="G53" s="34"/>
      <x:c r="H53" s="34"/>
      <x:c r="I53" s="34"/>
      <x:c r="J53" s="34"/>
      <x:c r="K53" s="34"/>
      <x:c r="L53" s="34"/>
      <x:c r="M53" s="34"/>
      <x:c r="N53" s="34"/>
      <x:c r="O53" s="36" t="n"/>
      <x:c r="P53" s="36" t="n"/>
      <x:c r="Q53" s="35"/>
    </x:row>
    <x:row r="54" s="23" customFormat="1" ht="77" customHeight="1">
      <x:c r="A54" s="37" t="inlineStr">
        <x:is>
          <x:t xml:space="preserve">equity-momentum-cross-sectional-decile/main.py</x:t>
        </x:is>
      </x:c>
      <x:c r="B54" s="37" t="n">
        <x:v>2</x:v>
      </x:c>
      <x:c r="C54" s="37" t="inlineStr">
        <x:is>
          <x:t xml:space="preserve">individual</x:t>
        </x:is>
      </x:c>
      <x:c r="D54" s="37" t="inlineStr">
        <x:is>
          <x:t xml:space="preserve">precise</x:t>
        </x:is>
      </x:c>
      <x:c r="E54" s="44" t="inlineStr">
        <x:is>
          <x:t xml:space="preserve">Use the stocks in the SPY ETF as my universe. Keep the 100 with the highest dollar volume. For each one measure the percent price change over the last 252 trading days using daily adjusted prices. At the start of each month hold the top 10% by that number in equal weights and sell anything no longer selected. Jan 1 2022 to Dec 31 2024, 250k.</x:t>
        </x:is>
      </x:c>
      <x:c r="F54" s="34"/>
      <x:c r="G54" s="34"/>
      <x:c r="H54" s="34"/>
      <x:c r="I54" s="34"/>
      <x:c r="J54" s="34"/>
      <x:c r="K54" s="34"/>
      <x:c r="L54" s="34"/>
      <x:c r="M54" s="34"/>
      <x:c r="N54" s="34"/>
      <x:c r="O54" s="36" t="n"/>
      <x:c r="P54" s="36" t="n"/>
      <x:c r="Q54" s="35"/>
    </x:row>
    <x:row r="55" s="23" customFormat="1" ht="103" customHeight="1">
      <x:c r="A55" s="37" t="inlineStr">
        <x:is>
          <x:t xml:space="preserve">equity-momentum-cross-sectional-decile/main.py</x:t>
        </x:is>
      </x:c>
      <x:c r="B55" s="37" t="n">
        <x:v>3</x:v>
      </x:c>
      <x:c r="C55" s="37" t="inlineStr">
        <x:is>
          <x:t xml:space="preserve">individual</x:t>
        </x:is>
      </x:c>
      <x:c r="D55" s="37" t="inlineStr">
        <x:is>
          <x:t xml:space="preserve">over_specified</x:t>
        </x:is>
      </x:c>
      <x:c r="E55" s="44" t="inlineStr">
        <x:is>
          <x:t xml:space="preserve">Use the stocks in the SPY ETF as my universe. Keep the 100 with the highest dollar volume. For each one measure the percent price change over the last 252 trading days using daily adjusted prices. At the start of each month at 9:31 hold the top 10% by that number in equal weights and sell anything no longer selected. Jan 1 2022 to Dec 31 2024, 250k. Call the class Sp500Momentum, make the 252, 100 and 10% named variables, and add a comment explaining why we warm up for 253 days.</x:t>
        </x:is>
      </x:c>
      <x:c r="F55" s="34"/>
      <x:c r="G55" s="34"/>
      <x:c r="H55" s="34"/>
      <x:c r="I55" s="34"/>
      <x:c r="J55" s="34"/>
      <x:c r="K55" s="34"/>
      <x:c r="L55" s="34"/>
      <x:c r="M55" s="34"/>
      <x:c r="N55" s="34"/>
      <x:c r="O55" s="36" t="n"/>
      <x:c r="P55" s="36" t="n"/>
      <x:c r="Q55" s="35"/>
    </x:row>
    <x:row r="56" s="23" customFormat="1" ht="52" customHeight="1">
      <x:c r="A56" s="37" t="inlineStr">
        <x:is>
          <x:t xml:space="preserve">equity-momentum-cross-sectional-decile/main.py</x:t>
        </x:is>
      </x:c>
      <x:c r="B56" s="37" t="n">
        <x:v>4</x:v>
      </x:c>
      <x:c r="C56" s="37" t="inlineStr">
        <x:is>
          <x:t xml:space="preserve">startup</x:t>
        </x:is>
      </x:c>
      <x:c r="D56" s="37" t="inlineStr">
        <x:is>
          <x:t xml:space="preserve">vague</x:t>
        </x:is>
      </x:c>
      <x:c r="E56" s="44" t="inlineStr">
        <x:is>
          <x:t xml:space="preserve">SPY constituents, top 100 by $vol, 12m momentum, top decile EW, monthly. 2022-2024, 250k.</x:t>
        </x:is>
      </x:c>
      <x:c r="F56" s="34"/>
      <x:c r="G56" s="34"/>
      <x:c r="H56" s="34"/>
      <x:c r="I56" s="34"/>
      <x:c r="J56" s="34"/>
      <x:c r="K56" s="34"/>
      <x:c r="L56" s="34"/>
      <x:c r="M56" s="34"/>
      <x:c r="N56" s="34"/>
      <x:c r="O56" s="36" t="n"/>
      <x:c r="P56" s="36" t="n"/>
      <x:c r="Q56" s="35"/>
    </x:row>
    <x:row r="57" s="23" customFormat="1" ht="64" customHeight="1">
      <x:c r="A57" s="37" t="inlineStr">
        <x:is>
          <x:t xml:space="preserve">equity-momentum-cross-sectional-decile/main.py</x:t>
        </x:is>
      </x:c>
      <x:c r="B57" s="37" t="n">
        <x:v>5</x:v>
      </x:c>
      <x:c r="C57" s="37" t="inlineStr">
        <x:is>
          <x:t xml:space="preserve">startup</x:t>
        </x:is>
      </x:c>
      <x:c r="D57" s="37" t="inlineStr">
        <x:is>
          <x:t xml:space="preserve">precise</x:t>
        </x:is>
      </x:c>
      <x:c r="E57" s="44" t="inlineStr">
        <x:is>
          <x:t xml:space="preserve">Universe = SPY ETF constituents capped to top 100 by dollar_volume. MomentumPercent(252) per name from adjusted price. Monthly at 09:31: top decile equal weight, liquidate rest. 2022-01-01 to 2024-12-31, 250k. Warm up 253 daily.</x:t>
        </x:is>
      </x:c>
      <x:c r="F57" s="34"/>
      <x:c r="G57" s="34"/>
      <x:c r="H57" s="34"/>
      <x:c r="I57" s="34"/>
      <x:c r="J57" s="34"/>
      <x:c r="K57" s="34"/>
      <x:c r="L57" s="34"/>
      <x:c r="M57" s="34"/>
      <x:c r="N57" s="34"/>
      <x:c r="O57" s="36" t="n"/>
      <x:c r="P57" s="36" t="n"/>
      <x:c r="Q57" s="35"/>
    </x:row>
    <x:row r="58" s="23" customFormat="1" ht="90" customHeight="1">
      <x:c r="A58" s="37" t="inlineStr">
        <x:is>
          <x:t xml:space="preserve">equity-momentum-cross-sectional-decile/main.py</x:t>
        </x:is>
      </x:c>
      <x:c r="B58" s="37" t="n">
        <x:v>6</x:v>
      </x:c>
      <x:c r="C58" s="37" t="inlineStr">
        <x:is>
          <x:t xml:space="preserve">startup</x:t>
        </x:is>
      </x:c>
      <x:c r="D58" s="37" t="inlineStr">
        <x:is>
          <x:t xml:space="preserve">over_specified</x:t>
        </x:is>
      </x:c>
      <x:c r="E58" s="44" t="inlineStr">
        <x:is>
          <x:t xml:space="preserve">Universe = SPY ETF constituents capped to top 100 by dollar_volume, minute universe res. MomentumPercent(252) per name updated from fundamental adjusted_price. Return unchanged universe while warming up. Monthly at 09:31: top decile (min 1) equal weight via PortfolioTargets, liquidate_existing_holdings. 2022-01-01 to 2024-12-31, 250k. set_warm_up(253, daily), seed initial prices, min order margin pct = 0, snake_case.</x:t>
        </x:is>
      </x:c>
      <x:c r="F58" s="34"/>
      <x:c r="G58" s="34"/>
      <x:c r="H58" s="34"/>
      <x:c r="I58" s="34"/>
      <x:c r="J58" s="34"/>
      <x:c r="K58" s="34"/>
      <x:c r="L58" s="34"/>
      <x:c r="M58" s="34"/>
      <x:c r="N58" s="34"/>
      <x:c r="O58" s="36" t="n"/>
      <x:c r="P58" s="36" t="n"/>
      <x:c r="Q58" s="35"/>
    </x:row>
    <x:row r="59" s="23" customFormat="1" ht="64" customHeight="1">
      <x:c r="A59" s="37" t="inlineStr">
        <x:is>
          <x:t xml:space="preserve">equity-momentum-cross-sectional-decile/main.py</x:t>
        </x:is>
      </x:c>
      <x:c r="B59" s="37" t="n">
        <x:v>7</x:v>
      </x:c>
      <x:c r="C59" s="37" t="inlineStr">
        <x:is>
          <x:t xml:space="preserve">institutional</x:t>
        </x:is>
      </x:c>
      <x:c r="D59" s="37" t="inlineStr">
        <x:is>
          <x:t xml:space="preserve">vague</x:t>
        </x:is>
      </x:c>
      <x:c r="E59" s="44" t="inlineStr">
        <x:is>
          <x:t xml:space="preserve">We need a long-only cross-sectional momentum factor reference on large-cap US equities for 2022 through 2024, consistent with our internal implementation: liquid S&amp;P 500 names, top decile by trailing-year momentum, monthly rebalance. Standard paper account.</x:t>
        </x:is>
      </x:c>
      <x:c r="F59" s="34"/>
      <x:c r="G59" s="34"/>
      <x:c r="H59" s="34"/>
      <x:c r="I59" s="34"/>
      <x:c r="J59" s="34"/>
      <x:c r="K59" s="34"/>
      <x:c r="L59" s="34"/>
      <x:c r="M59" s="34"/>
      <x:c r="N59" s="34"/>
      <x:c r="O59" s="36" t="n"/>
      <x:c r="P59" s="36" t="n"/>
      <x:c r="Q59" s="35"/>
    </x:row>
    <x:row r="60" s="23" customFormat="1" ht="103" customHeight="1">
      <x:c r="A60" s="37" t="inlineStr">
        <x:is>
          <x:t xml:space="preserve">equity-momentum-cross-sectional-decile/main.py</x:t>
        </x:is>
      </x:c>
      <x:c r="B60" s="37" t="n">
        <x:v>8</x:v>
      </x:c>
      <x:c r="C60" s="37" t="inlineStr">
        <x:is>
          <x:t xml:space="preserve">institutional</x:t>
        </x:is>
      </x:c>
      <x:c r="D60" s="37" t="inlineStr">
        <x:is>
          <x:t xml:space="preserve">precise</x:t>
        </x:is>
      </x:c>
      <x:c r="E60" s="44" t="inlineStr">
        <x:is>
          <x:t xml:space="preserve">Implement the desk's cross-sectional momentum reference. Universe: constituents of the SPY ETF, capped at the 100 highest by dollar volume. Window: 2022-01-01 to 2024-12-31. Capital: 250,000. Signal: 252-period momentum percent per symbol computed from daily adjusted prices. Rebalance: first trading day of each month at 09:31; hold the top 10% of the capped universe equal-weight and liquidate the rest. Warm up 253 daily bars before selecting.</x:t>
        </x:is>
      </x:c>
      <x:c r="F60" s="34"/>
      <x:c r="G60" s="34"/>
      <x:c r="H60" s="34"/>
      <x:c r="I60" s="34"/>
      <x:c r="J60" s="34"/>
      <x:c r="K60" s="34"/>
      <x:c r="L60" s="34"/>
      <x:c r="M60" s="34"/>
      <x:c r="N60" s="34"/>
      <x:c r="O60" s="36" t="n"/>
      <x:c r="P60" s="36" t="n"/>
      <x:c r="Q60" s="35"/>
    </x:row>
    <x:row r="61" s="23" customFormat="1" ht="155" customHeight="1">
      <x:c r="A61" s="37" t="inlineStr">
        <x:is>
          <x:t xml:space="preserve">equity-momentum-cross-sectional-decile/main.py</x:t>
        </x:is>
      </x:c>
      <x:c r="B61" s="37" t="n">
        <x:v>9</x:v>
      </x:c>
      <x:c r="C61" s="37" t="inlineStr">
        <x:is>
          <x:t xml:space="preserve">institutional</x:t>
        </x:is>
      </x:c>
      <x:c r="D61" s="37" t="inlineStr">
        <x:is>
          <x:t xml:space="preserve">over_specified</x:t>
        </x:is>
      </x:c>
      <x:c r="E61" s="44" t="inlineStr">
        <x:is>
          <x:t xml:space="preserve">Implement the desk's cross-sectional momentum reference. Universe: constituents of the SPY ETF, capped at the 100 highest by dollar volume, universe resolution minute. Window: 2022-01-01 to 2024-12-31. Capital: 250,000. Signal: 252-period momentum percent per symbol computed from daily adjusted prices. Rebalance: first trading day of each month at 09:31 via a scheduled event; hold the top 10% of the capped universe equal-weight with portfolio targets and liquidate the rest. Warm up 253 daily bars and return the universe unchanged while warming up. Compliance: seed initial prices, set minimum order margin portfolio percentage to zero, equal weights only, long-only, no leverage, snake_case API per style guide, type annotations.</x:t>
        </x:is>
      </x:c>
      <x:c r="F61" s="34"/>
      <x:c r="G61" s="34"/>
      <x:c r="H61" s="34"/>
      <x:c r="I61" s="34"/>
      <x:c r="J61" s="34"/>
      <x:c r="K61" s="34"/>
      <x:c r="L61" s="34"/>
      <x:c r="M61" s="34"/>
      <x:c r="N61" s="34"/>
      <x:c r="O61" s="36" t="n"/>
      <x:c r="P61" s="36" t="n"/>
      <x:c r="Q61" s="35"/>
    </x:row>
    <x:row r="62" s="23" customFormat="1" ht="181" customHeight="1">
      <x:c r="A62" s="37" t="inlineStr">
        <x:is>
          <x:t xml:space="preserve">equity-momentum-cross-sectional-decile/main.py</x:t>
        </x:is>
      </x:c>
      <x:c r="B62" s="37" t="n">
        <x:v>10</x:v>
      </x:c>
      <x:c r="C62" s="37" t="inlineStr">
        <x:is>
          <x:t xml:space="preserve">reference</x:t>
        </x:is>
      </x:c>
      <x:c r="D62" s="37" t="inlineStr">
        <x:is>
          <x:t xml:space="preserve">ceiling</x:t>
        </x:is>
      </x:c>
      <x:c r="E62" s="44" t="inlineStr">
        <x:is>
          <x:t xml:space="preserve">QuantConnect Python, snake_case. initialize: dates 2022-01-01 to 2024-12-31, set_cash(250_000), settings.seed_initial_prices = True, settings.minimum_order_margin_portfolio_percentage = 0, _lookback = 252, _universe_cap = 100, _top_decile_pct = 0.1, dict of MomentumPercent per symbol, universe_settings.resolution = Resolution.MINUTE, _universe = add_universe(self.universe.etf('SPY'), self._select_assets), set_warm_up(253, Resolution.DAILY), schedule.on(date_rules.month_start('SPY'), time_rules.at(9, 31), self._rebalance). _select_assets: update each symbol's MomentumPercent with (f.end_time, f.adjusted_price); return Universe.UNCHANGED while warming up; sort ready by dollar_volume desc, cap 100; rank by momentum desc; return top max(1, int(n * 0.1)) symbols. _rebalance: selected = list(_universe.selected); set_holdings([PortfolioTarget(s, 1/len) ...], liquidate_existing_holdings=True).</x:t>
        </x:is>
      </x:c>
      <x:c r="F62" s="34"/>
      <x:c r="G62" s="34"/>
      <x:c r="H62" s="34"/>
      <x:c r="I62" s="34"/>
      <x:c r="J62" s="34"/>
      <x:c r="K62" s="34"/>
      <x:c r="L62" s="34"/>
      <x:c r="M62" s="34"/>
      <x:c r="N62" s="34"/>
      <x:c r="O62" s="36" t="n"/>
      <x:c r="P62" s="36" t="n"/>
      <x:c r="Q62" s="35"/>
    </x:row>
    <x:row r="63" s="23" customFormat="1" ht="64" customHeight="1">
      <x:c r="A63" s="34" t="inlineStr">
        <x:is>
          <x:t xml:space="preserve">equity-opening-range-breakout/main.py</x:t>
        </x:is>
      </x:c>
      <x:c r="B63" s="34" t="n">
        <x:v>1</x:v>
      </x:c>
      <x:c r="C63" s="34" t="inlineStr">
        <x:is>
          <x:t xml:space="preserve">individual</x:t>
        </x:is>
      </x:c>
      <x:c r="D63" s="34" t="inlineStr">
        <x:is>
          <x:t xml:space="preserve">vague</x:t>
        </x:is>
      </x:c>
      <x:c r="E63" s="44" t="inlineStr">
        <x:is>
          <x:t xml:space="preserve">Make me a day trading bot for SPY that trades the morning breakout. Watch the first bit of the day, then go long if it breaks above or short if it breaks below, and close out before the end of the day. Last few months of 2024.</x:t>
        </x:is>
      </x:c>
      <x:c r="F63" s="34"/>
      <x:c r="G63" s="34"/>
      <x:c r="H63" s="34"/>
      <x:c r="I63" s="34"/>
      <x:c r="J63" s="34"/>
      <x:c r="K63" s="34"/>
      <x:c r="L63" s="34"/>
      <x:c r="M63" s="34"/>
      <x:c r="N63" s="34"/>
      <x:c r="O63" s="36" t="n"/>
      <x:c r="P63" s="36" t="n"/>
      <x:c r="Q63" s="35"/>
    </x:row>
    <x:row r="64" s="23" customFormat="1" ht="64" customHeight="1">
      <x:c r="A64" s="34" t="inlineStr">
        <x:is>
          <x:t xml:space="preserve">equity-opening-range-breakout/main.py</x:t>
        </x:is>
      </x:c>
      <x:c r="B64" s="34" t="n">
        <x:v>2</x:v>
      </x:c>
      <x:c r="C64" s="34" t="inlineStr">
        <x:is>
          <x:t xml:space="preserve">individual</x:t>
        </x:is>
      </x:c>
      <x:c r="D64" s="34" t="inlineStr">
        <x:is>
          <x:t xml:space="preserve">precise</x:t>
        </x:is>
      </x:c>
      <x:c r="E64" s="44" t="inlineStr">
        <x:is>
          <x:t xml:space="preserve">SPY on minute bars. Track the high and low from 9:30 to 10:00. After 10:00, if a bar closes above that high buy with everything, if it closes below that low short with everything. Only one trade per day. Close everything at 3:55 and reset. Sept 1 to Dec 31 2024, 100k.</x:t>
        </x:is>
      </x:c>
      <x:c r="F64" s="34"/>
      <x:c r="G64" s="34"/>
      <x:c r="H64" s="34"/>
      <x:c r="I64" s="34"/>
      <x:c r="J64" s="34"/>
      <x:c r="K64" s="34"/>
      <x:c r="L64" s="34"/>
      <x:c r="M64" s="34"/>
      <x:c r="N64" s="34"/>
      <x:c r="O64" s="36" t="n"/>
      <x:c r="P64" s="36" t="n"/>
      <x:c r="Q64" s="35"/>
    </x:row>
    <x:row r="65" s="23" customFormat="1" ht="103" customHeight="1">
      <x:c r="A65" s="34" t="inlineStr">
        <x:is>
          <x:t xml:space="preserve">equity-opening-range-breakout/main.py</x:t>
        </x:is>
      </x:c>
      <x:c r="B65" s="34" t="n">
        <x:v>3</x:v>
      </x:c>
      <x:c r="C65" s="34" t="inlineStr">
        <x:is>
          <x:t xml:space="preserve">individual</x:t>
        </x:is>
      </x:c>
      <x:c r="D65" s="34" t="inlineStr">
        <x:is>
          <x:t xml:space="preserve">over_specified</x:t>
        </x:is>
      </x:c>
      <x:c r="E65" s="44" t="inlineStr">
        <x:is>
          <x:t xml:space="preserve">SPY on minute bars. Track the high and low from 9:30 to 10:00. After 10:00, if a bar closes above that high buy with everything, if it closes below that low short with everything. Only one trade per day. Close everything at 3:55 and reset. Sept 1 to Dec 31 2024, 100k. Plot the range high and low on a chart called ORB and the trade direction on a chart called Trades, call the class OpeningRangeBreakout, and seed the starting prices.</x:t>
        </x:is>
      </x:c>
      <x:c r="F65" s="34"/>
      <x:c r="G65" s="34"/>
      <x:c r="H65" s="34"/>
      <x:c r="I65" s="34"/>
      <x:c r="J65" s="34"/>
      <x:c r="K65" s="34"/>
      <x:c r="L65" s="34"/>
      <x:c r="M65" s="34"/>
      <x:c r="N65" s="34"/>
      <x:c r="O65" s="36" t="n"/>
      <x:c r="P65" s="36" t="n"/>
      <x:c r="Q65" s="35"/>
    </x:row>
    <x:row r="66" s="23" customFormat="1" ht="52" customHeight="1">
      <x:c r="A66" s="34" t="inlineStr">
        <x:is>
          <x:t xml:space="preserve">equity-opening-range-breakout/main.py</x:t>
        </x:is>
      </x:c>
      <x:c r="B66" s="34" t="n">
        <x:v>4</x:v>
      </x:c>
      <x:c r="C66" s="34" t="inlineStr">
        <x:is>
          <x:t xml:space="preserve">startup</x:t>
        </x:is>
      </x:c>
      <x:c r="D66" s="34" t="inlineStr">
        <x:is>
          <x:t xml:space="preserve">vague</x:t>
        </x:is>
      </x:c>
      <x:c r="E66" s="44" t="inlineStr">
        <x:is>
          <x:t xml:space="preserve">SPY 30-min ORB, long/short break, 1 trade/day, flat 15:55. Q4 2024.</x:t>
        </x:is>
      </x:c>
      <x:c r="F66" s="34"/>
      <x:c r="G66" s="34"/>
      <x:c r="H66" s="34"/>
      <x:c r="I66" s="34"/>
      <x:c r="J66" s="34"/>
      <x:c r="K66" s="34"/>
      <x:c r="L66" s="34"/>
      <x:c r="M66" s="34"/>
      <x:c r="N66" s="34"/>
      <x:c r="O66" s="36" t="n"/>
      <x:c r="P66" s="36" t="n"/>
      <x:c r="Q66" s="35"/>
    </x:row>
    <x:row r="67" s="23" customFormat="1" ht="64" customHeight="1">
      <x:c r="A67" s="34" t="inlineStr">
        <x:is>
          <x:t xml:space="preserve">equity-opening-range-breakout/main.py</x:t>
        </x:is>
      </x:c>
      <x:c r="B67" s="34" t="n">
        <x:v>5</x:v>
      </x:c>
      <x:c r="C67" s="34" t="inlineStr">
        <x:is>
          <x:t xml:space="preserve">startup</x:t>
        </x:is>
      </x:c>
      <x:c r="D67" s="34" t="inlineStr">
        <x:is>
          <x:t xml:space="preserve">precise</x:t>
        </x:is>
      </x:c>
      <x:c r="E67" s="44" t="inlineStr">
        <x:is>
          <x:t xml:space="preserve">SPY minute. Range = high/low of 09:30-10:00 bars. After 10:00: close &gt; range high -&gt; 100% long; close &lt; range low -&gt; 100% short; clear range after a trade (1/day). Liquidate 15:55, reset. 2024-09-01 to 2024-12-31, 100k.</x:t>
        </x:is>
      </x:c>
      <x:c r="F67" s="34"/>
      <x:c r="G67" s="34"/>
      <x:c r="H67" s="34"/>
      <x:c r="I67" s="34"/>
      <x:c r="J67" s="34"/>
      <x:c r="K67" s="34"/>
      <x:c r="L67" s="34"/>
      <x:c r="M67" s="34"/>
      <x:c r="N67" s="34"/>
      <x:c r="O67" s="36" t="n"/>
      <x:c r="P67" s="36" t="n"/>
      <x:c r="Q67" s="35"/>
    </x:row>
    <x:row r="68" s="23" customFormat="1" ht="90" customHeight="1">
      <x:c r="A68" s="34" t="inlineStr">
        <x:is>
          <x:t xml:space="preserve">equity-opening-range-breakout/main.py</x:t>
        </x:is>
      </x:c>
      <x:c r="B68" s="34" t="n">
        <x:v>6</x:v>
      </x:c>
      <x:c r="C68" s="34" t="inlineStr">
        <x:is>
          <x:t xml:space="preserve">startup</x:t>
        </x:is>
      </x:c>
      <x:c r="D68" s="34" t="inlineStr">
        <x:is>
          <x:t xml:space="preserve">over_specified</x:t>
        </x:is>
      </x:c>
      <x:c r="E68" s="44" t="inlineStr">
        <x:is>
          <x:t xml:space="preserve">SPY minute. Range = high/low of bars with 09:30 &lt;= t &lt; 10:00. After 10:00: close &gt; range high -&gt; 100% long; close &lt; range low -&gt; 100% short; clear range after a trade (1/day). Scheduled liquidate at 15:55 every day, reset range there too. 2024-09-01 to 2024-12-31, 100k. Seed initial prices, plot range + direction, snake_case, keep range in two attrs, no consolidators.</x:t>
        </x:is>
      </x:c>
      <x:c r="F68" s="34"/>
      <x:c r="G68" s="34"/>
      <x:c r="H68" s="34"/>
      <x:c r="I68" s="34"/>
      <x:c r="J68" s="34"/>
      <x:c r="K68" s="34"/>
      <x:c r="L68" s="34"/>
      <x:c r="M68" s="34"/>
      <x:c r="N68" s="34"/>
      <x:c r="O68" s="36" t="n"/>
      <x:c r="P68" s="36" t="n"/>
      <x:c r="Q68" s="35"/>
    </x:row>
    <x:row r="69" s="23" customFormat="1" ht="64" customHeight="1">
      <x:c r="A69" s="34" t="inlineStr">
        <x:is>
          <x:t xml:space="preserve">equity-opening-range-breakout/main.py</x:t>
        </x:is>
      </x:c>
      <x:c r="B69" s="34" t="n">
        <x:v>7</x:v>
      </x:c>
      <x:c r="C69" s="34" t="inlineStr">
        <x:is>
          <x:t xml:space="preserve">institutional</x:t>
        </x:is>
      </x:c>
      <x:c r="D69" s="34" t="inlineStr">
        <x:is>
          <x:t xml:space="preserve">vague</x:t>
        </x:is>
      </x:c>
      <x:c r="E69" s="44" t="inlineStr">
        <x:is>
          <x:t xml:space="preserve">We need an intraday opening-range breakout reference on SPY for the September to December 2024 window, consistent with our internal implementation: single trade per session, both directions, flat before the close. Standard paper account.</x:t>
        </x:is>
      </x:c>
      <x:c r="F69" s="34"/>
      <x:c r="G69" s="34"/>
      <x:c r="H69" s="34"/>
      <x:c r="I69" s="34"/>
      <x:c r="J69" s="34"/>
      <x:c r="K69" s="34"/>
      <x:c r="L69" s="34"/>
      <x:c r="M69" s="34"/>
      <x:c r="N69" s="34"/>
      <x:c r="O69" s="36" t="n"/>
      <x:c r="P69" s="36" t="n"/>
      <x:c r="Q69" s="35"/>
    </x:row>
    <x:row r="70" s="23" customFormat="1" ht="90" customHeight="1">
      <x:c r="A70" s="34" t="inlineStr">
        <x:is>
          <x:t xml:space="preserve">equity-opening-range-breakout/main.py</x:t>
        </x:is>
      </x:c>
      <x:c r="B70" s="34" t="n">
        <x:v>8</x:v>
      </x:c>
      <x:c r="C70" s="34" t="inlineStr">
        <x:is>
          <x:t xml:space="preserve">institutional</x:t>
        </x:is>
      </x:c>
      <x:c r="D70" s="34" t="inlineStr">
        <x:is>
          <x:t xml:space="preserve">precise</x:t>
        </x:is>
      </x:c>
      <x:c r="E70" s="44" t="inlineStr">
        <x:is>
          <x:t xml:space="preserve">Implement the desk's opening-range breakout reference on SPY. Resolution: minute. Window: 2024-09-01 to 2024-12-31. Capital: 100,000. Range: high and low of bars from 09:30 to 10:00. Entry after 10:00: a close above the range high allocates 100% long; a close below the range low allocates 100% short; at most one entry per day. Exit: liquidate at 15:55 and reset the range daily.</x:t>
        </x:is>
      </x:c>
      <x:c r="F70" s="34"/>
      <x:c r="G70" s="34"/>
      <x:c r="H70" s="34"/>
      <x:c r="I70" s="34"/>
      <x:c r="J70" s="34"/>
      <x:c r="K70" s="34"/>
      <x:c r="L70" s="34"/>
      <x:c r="M70" s="34"/>
      <x:c r="N70" s="34"/>
      <x:c r="O70" s="36" t="n"/>
      <x:c r="P70" s="36" t="n"/>
      <x:c r="Q70" s="35"/>
    </x:row>
    <x:row r="71" s="23" customFormat="1" ht="129" customHeight="1">
      <x:c r="A71" s="34" t="inlineStr">
        <x:is>
          <x:t xml:space="preserve">equity-opening-range-breakout/main.py</x:t>
        </x:is>
      </x:c>
      <x:c r="B71" s="34" t="n">
        <x:v>9</x:v>
      </x:c>
      <x:c r="C71" s="34" t="inlineStr">
        <x:is>
          <x:t xml:space="preserve">institutional</x:t>
        </x:is>
      </x:c>
      <x:c r="D71" s="34" t="inlineStr">
        <x:is>
          <x:t xml:space="preserve">over_specified</x:t>
        </x:is>
      </x:c>
      <x:c r="E71" s="44" t="inlineStr">
        <x:is>
          <x:t xml:space="preserve">Implement the desk's opening-range breakout reference on SPY. Resolution: minute. Window: 2024-09-01 to 2024-12-31. Capital: 100,000. Range: high and low of bars from 09:30 to 10:00. Entry after 10:00: a close above the range high allocates 100% long; a close below the range low allocates 100% short; clear the range after an entry so there is at most one per day. Exit: scheduled liquidation at 15:55 every trading day, then reset the range. Compliance: seed initial prices, plot the range bounds and trade direction for audit, no overnight positions, no leverage beyond 100% notional, snake_case API per style guide, type annotations.</x:t>
        </x:is>
      </x:c>
      <x:c r="F71" s="34"/>
      <x:c r="G71" s="34"/>
      <x:c r="H71" s="34"/>
      <x:c r="I71" s="34"/>
      <x:c r="J71" s="34"/>
      <x:c r="K71" s="34"/>
      <x:c r="L71" s="34"/>
      <x:c r="M71" s="34"/>
      <x:c r="N71" s="34"/>
      <x:c r="O71" s="36" t="n"/>
      <x:c r="P71" s="36" t="n"/>
      <x:c r="Q71" s="35"/>
    </x:row>
    <x:row r="72" s="23" customFormat="1" ht="142" customHeight="1">
      <x:c r="A72" s="34" t="inlineStr">
        <x:is>
          <x:t xml:space="preserve">equity-opening-range-breakout/main.py</x:t>
        </x:is>
      </x:c>
      <x:c r="B72" s="34" t="n">
        <x:v>10</x:v>
      </x:c>
      <x:c r="C72" s="34" t="inlineStr">
        <x:is>
          <x:t xml:space="preserve">reference</x:t>
        </x:is>
      </x:c>
      <x:c r="D72" s="34" t="inlineStr">
        <x:is>
          <x:t xml:space="preserve">ceiling</x:t>
        </x:is>
      </x:c>
      <x:c r="E72" s="44" t="inlineStr">
        <x:is>
          <x:t xml:space="preserve">QuantConnect Python, snake_case. initialize: set_start_date(2024, 9, 1), set_end_date(2024, 12, 31), set_cash(100000), settings.seed_initial_prices = True, spy = add_equity('SPY', resolution=Resolution.MINUTE).symbol, _orb_high = _orb_low = None, schedule.on(date_rules.every_day(spy), time_rules.at(15, 55), self._liquidate_eod). _liquidate_eod: liquidate(spy); reset range. on_data: bar = data.bars.get(spy); t = self.time.time(); if time(9,30) &lt;= t &lt; time(10,0): extend range with bar.high/bar.low; elif t &gt;= time(10,0): if _orb_high and bar.close &gt; _orb_high: set_holdings(spy, 1.0), clear range; if _orb_low and bar.close &lt; _orb_low: set_holdings(spy, -1.0), clear range.</x:t>
        </x:is>
      </x:c>
      <x:c r="F72" s="34"/>
      <x:c r="G72" s="34"/>
      <x:c r="H72" s="34"/>
      <x:c r="I72" s="34"/>
      <x:c r="J72" s="34"/>
      <x:c r="K72" s="34"/>
      <x:c r="L72" s="34"/>
      <x:c r="M72" s="34"/>
      <x:c r="N72" s="34"/>
      <x:c r="O72" s="36" t="n"/>
      <x:c r="P72" s="36" t="n"/>
      <x:c r="Q72" s="35"/>
    </x:row>
    <x:row r="73" s="23" customFormat="1" ht="52" customHeight="1">
      <x:c r="A73" s="37" t="inlineStr">
        <x:is>
          <x:t xml:space="preserve">equity-pairs-trading-cointegration/main.py</x:t>
        </x:is>
      </x:c>
      <x:c r="B73" s="37" t="n">
        <x:v>1</x:v>
      </x:c>
      <x:c r="C73" s="37" t="inlineStr">
        <x:is>
          <x:t xml:space="preserve">individual</x:t>
        </x:is>
      </x:c>
      <x:c r="D73" s="37" t="inlineStr">
        <x:is>
          <x:t xml:space="preserve">vague</x:t>
        </x:is>
      </x:c>
      <x:c r="E73" s="44" t="inlineStr">
        <x:is>
          <x:t xml:space="preserve">Can you build a pairs trading bot for Coke and Pepsi? When they drift apart bet on them coming back together, and close out when they're back to normal. 2022 to 2024.</x:t>
        </x:is>
      </x:c>
      <x:c r="F73" s="34"/>
      <x:c r="G73" s="34"/>
      <x:c r="H73" s="34"/>
      <x:c r="I73" s="34"/>
      <x:c r="J73" s="34"/>
      <x:c r="K73" s="34"/>
      <x:c r="L73" s="34"/>
      <x:c r="M73" s="34"/>
      <x:c r="N73" s="34"/>
      <x:c r="O73" s="36" t="n"/>
      <x:c r="P73" s="36" t="n"/>
      <x:c r="Q73" s="35"/>
    </x:row>
    <x:row r="74" s="23" customFormat="1" ht="103" customHeight="1">
      <x:c r="A74" s="37" t="inlineStr">
        <x:is>
          <x:t xml:space="preserve">equity-pairs-trading-cointegration/main.py</x:t>
        </x:is>
      </x:c>
      <x:c r="B74" s="37" t="n">
        <x:v>2</x:v>
      </x:c>
      <x:c r="C74" s="37" t="inlineStr">
        <x:is>
          <x:t xml:space="preserve">individual</x:t>
        </x:is>
      </x:c>
      <x:c r="D74" s="37" t="inlineStr">
        <x:is>
          <x:t xml:space="preserve">precise</x:t>
        </x:is>
      </x:c>
      <x:c r="E74" s="44" t="inlineStr">
        <x:is>
          <x:t xml:space="preserve">Pairs trade KO and PEP. Once a week fit a linear regression of KO's price on PEP's price over the last 60 daily closes to get the slope and intercept, and save the mean and standard deviation of the spread. Every day at 10:00 compute the z-score of today's spread. If z is below -2 buy KO and short PEP with half the money each. If z is above 2 do the opposite. If z is between -0.5 and 0.5 close everything. Minute data, Jan 1 2022 to Dec 31 2024, 100k.</x:t>
        </x:is>
      </x:c>
      <x:c r="F74" s="34"/>
      <x:c r="G74" s="34"/>
      <x:c r="H74" s="34"/>
      <x:c r="I74" s="34"/>
      <x:c r="J74" s="34"/>
      <x:c r="K74" s="34"/>
      <x:c r="L74" s="34"/>
      <x:c r="M74" s="34"/>
      <x:c r="N74" s="34"/>
      <x:c r="O74" s="36" t="n"/>
      <x:c r="P74" s="36" t="n"/>
      <x:c r="Q74" s="35"/>
    </x:row>
    <x:row r="75" s="23" customFormat="1" ht="129" customHeight="1">
      <x:c r="A75" s="37" t="inlineStr">
        <x:is>
          <x:t xml:space="preserve">equity-pairs-trading-cointegration/main.py</x:t>
        </x:is>
      </x:c>
      <x:c r="B75" s="37" t="n">
        <x:v>3</x:v>
      </x:c>
      <x:c r="C75" s="37" t="inlineStr">
        <x:is>
          <x:t xml:space="preserve">individual</x:t>
        </x:is>
      </x:c>
      <x:c r="D75" s="37" t="inlineStr">
        <x:is>
          <x:t xml:space="preserve">over_specified</x:t>
        </x:is>
      </x:c>
      <x:c r="E75" s="44" t="inlineStr">
        <x:is>
          <x:t xml:space="preserve">Pairs trade KO and PEP. Once a week at 9:31 fit a linear regression of KO's price on PEP's price over the last 60 daily closes to get the slope and intercept, and save the mean and standard deviation of the spread. Every day at 10:00 compute the z-score of today's spread. If z is below -2 buy KO and short PEP with half the money each. If z is above 2 do the opposite. If z is between -0.5 and 0.5 close everything. Minute data, Jan 1 2022 to Dec 31 2024, 100k. Use numpy for the regression, call the class KoPepPairs, keep a state variable for flat/long/short so it doesn't re-enter the same side, and add comments on each rule.</x:t>
        </x:is>
      </x:c>
      <x:c r="F75" s="34"/>
      <x:c r="G75" s="34"/>
      <x:c r="H75" s="34"/>
      <x:c r="I75" s="34"/>
      <x:c r="J75" s="34"/>
      <x:c r="K75" s="34"/>
      <x:c r="L75" s="34"/>
      <x:c r="M75" s="34"/>
      <x:c r="N75" s="34"/>
      <x:c r="O75" s="36" t="n"/>
      <x:c r="P75" s="36" t="n"/>
      <x:c r="Q75" s="35"/>
    </x:row>
    <x:row r="76" s="23" customFormat="1" ht="52" customHeight="1">
      <x:c r="A76" s="37" t="inlineStr">
        <x:is>
          <x:t xml:space="preserve">equity-pairs-trading-cointegration/main.py</x:t>
        </x:is>
      </x:c>
      <x:c r="B76" s="37" t="n">
        <x:v>4</x:v>
      </x:c>
      <x:c r="C76" s="37" t="inlineStr">
        <x:is>
          <x:t xml:space="preserve">startup</x:t>
        </x:is>
      </x:c>
      <x:c r="D76" s="37" t="inlineStr">
        <x:is>
          <x:t xml:space="preserve">vague</x:t>
        </x:is>
      </x:c>
      <x:c r="E76" s="44" t="inlineStr">
        <x:is>
          <x:t xml:space="preserve">KO/PEP stat arb. 60d OLS hedge weekly, z-score daily, ±2 in, 0.5 out, $-neutral. 2022-2024.</x:t>
        </x:is>
      </x:c>
      <x:c r="F76" s="34"/>
      <x:c r="G76" s="34"/>
      <x:c r="H76" s="34"/>
      <x:c r="I76" s="34"/>
      <x:c r="J76" s="34"/>
      <x:c r="K76" s="34"/>
      <x:c r="L76" s="34"/>
      <x:c r="M76" s="34"/>
      <x:c r="N76" s="34"/>
      <x:c r="O76" s="36" t="n"/>
      <x:c r="P76" s="36" t="n"/>
      <x:c r="Q76" s="35"/>
    </x:row>
    <x:row r="77" s="23" customFormat="1" ht="64" customHeight="1">
      <x:c r="A77" s="37" t="inlineStr">
        <x:is>
          <x:t xml:space="preserve">equity-pairs-trading-cointegration/main.py</x:t>
        </x:is>
      </x:c>
      <x:c r="B77" s="37" t="n">
        <x:v>5</x:v>
      </x:c>
      <x:c r="C77" s="37" t="inlineStr">
        <x:is>
          <x:t xml:space="preserve">startup</x:t>
        </x:is>
      </x:c>
      <x:c r="D77" s="37" t="inlineStr">
        <x:is>
          <x:t xml:space="preserve">precise</x:t>
        </x:is>
      </x:c>
      <x:c r="E77" s="44" t="inlineStr">
        <x:is>
          <x:t xml:space="preserve">KO, PEP minute. Weekly 09:31: OLS KO ~ PEP on last 60 daily closes -&gt; beta, alpha, spread mean/std. Daily 10:00: z = (spread - mean)/std. z &lt; -2: KO +50% PEP -50%. z &gt; 2: reverse. |z| &lt; 0.5: flat. Warm up 60 daily. 2022-01-01 to 2024-12-31, 100k.</x:t>
        </x:is>
      </x:c>
      <x:c r="F77" s="34"/>
      <x:c r="G77" s="34"/>
      <x:c r="H77" s="34"/>
      <x:c r="I77" s="34"/>
      <x:c r="J77" s="34"/>
      <x:c r="K77" s="34"/>
      <x:c r="L77" s="34"/>
      <x:c r="M77" s="34"/>
      <x:c r="N77" s="34"/>
      <x:c r="O77" s="36" t="n"/>
      <x:c r="P77" s="36" t="n"/>
      <x:c r="Q77" s="35"/>
    </x:row>
    <x:row r="78" s="23" customFormat="1" ht="103" customHeight="1">
      <x:c r="A78" s="37" t="inlineStr">
        <x:is>
          <x:t xml:space="preserve">equity-pairs-trading-cointegration/main.py</x:t>
        </x:is>
      </x:c>
      <x:c r="B78" s="37" t="n">
        <x:v>6</x:v>
      </x:c>
      <x:c r="C78" s="37" t="inlineStr">
        <x:is>
          <x:t xml:space="preserve">startup</x:t>
        </x:is>
      </x:c>
      <x:c r="D78" s="37" t="inlineStr">
        <x:is>
          <x:t xml:space="preserve">over_specified</x:t>
        </x:is>
      </x:c>
      <x:c r="E78" s="44" t="inlineStr">
        <x:is>
          <x:t xml:space="preserve">KO, PEP minute. Weekly 09:31 (and on warm-up finished): OLS KO ~ PEP on last 60 daily session closes via np.linalg.lstsq -&gt; beta, alpha, spread mean/std (floor std 1e-6). Daily 10:00: z = (spread - mean)/std. z &lt; -2 and not long: KO +50% PEP -50%. z &gt; 2 and not short: reverse. |z| &lt; 0.5 and in position: liquidate. Track state 0/1/-1. set_warm_up(60, daily). 2022-01-01 to 2024-12-31, 100k. Use security.session for closes, snake_case, no history() calls.</x:t>
        </x:is>
      </x:c>
      <x:c r="F78" s="34"/>
      <x:c r="G78" s="34"/>
      <x:c r="H78" s="34"/>
      <x:c r="I78" s="34"/>
      <x:c r="J78" s="34"/>
      <x:c r="K78" s="34"/>
      <x:c r="L78" s="34"/>
      <x:c r="M78" s="34"/>
      <x:c r="N78" s="34"/>
      <x:c r="O78" s="36" t="n"/>
      <x:c r="P78" s="36" t="n"/>
      <x:c r="Q78" s="35"/>
    </x:row>
    <x:row r="79" s="23" customFormat="1" ht="64" customHeight="1">
      <x:c r="A79" s="37" t="inlineStr">
        <x:is>
          <x:t xml:space="preserve">equity-pairs-trading-cointegration/main.py</x:t>
        </x:is>
      </x:c>
      <x:c r="B79" s="37" t="n">
        <x:v>7</x:v>
      </x:c>
      <x:c r="C79" s="37" t="inlineStr">
        <x:is>
          <x:t xml:space="preserve">institutional</x:t>
        </x:is>
      </x:c>
      <x:c r="D79" s="37" t="inlineStr">
        <x:is>
          <x:t xml:space="preserve">vague</x:t>
        </x:is>
      </x:c>
      <x:c r="E79" s="44" t="inlineStr">
        <x:is>
          <x:t xml:space="preserve">We need a market-neutral pairs trading reference on KO and PEP for 2022 through 2024, consistent with our internal implementation: rolling OLS hedge ratio, z-score entries and exits, dollar-neutral legs. Standard paper account.</x:t>
        </x:is>
      </x:c>
      <x:c r="F79" s="34"/>
      <x:c r="G79" s="34"/>
      <x:c r="H79" s="34"/>
      <x:c r="I79" s="34"/>
      <x:c r="J79" s="34"/>
      <x:c r="K79" s="34"/>
      <x:c r="L79" s="34"/>
      <x:c r="M79" s="34"/>
      <x:c r="N79" s="34"/>
      <x:c r="O79" s="36" t="n"/>
      <x:c r="P79" s="36" t="n"/>
      <x:c r="Q79" s="35"/>
    </x:row>
    <x:row r="80" s="23" customFormat="1" ht="103" customHeight="1">
      <x:c r="A80" s="37" t="inlineStr">
        <x:is>
          <x:t xml:space="preserve">equity-pairs-trading-cointegration/main.py</x:t>
        </x:is>
      </x:c>
      <x:c r="B80" s="37" t="n">
        <x:v>8</x:v>
      </x:c>
      <x:c r="C80" s="37" t="inlineStr">
        <x:is>
          <x:t xml:space="preserve">institutional</x:t>
        </x:is>
      </x:c>
      <x:c r="D80" s="37" t="inlineStr">
        <x:is>
          <x:t xml:space="preserve">precise</x:t>
        </x:is>
      </x:c>
      <x:c r="E80" s="44" t="inlineStr">
        <x:is>
          <x:t xml:space="preserve">Implement the desk's pairs trading reference on KO and PEP. Resolution: minute. Window: 2022-01-01 to 2024-12-31. Capital: 100,000. Model: weekly at 09:31, fit OLS of KO on PEP over the last 60 daily closes to obtain beta and alpha, and record the spread's mean and standard deviation. Signal: daily at 10:00, z-score of the current spread. Rules: z below -2, long KO 50% and short PEP 50%; z above 2, the reverse; absolute z below 0.5, liquidate. Warm up 60 daily bars.</x:t>
        </x:is>
      </x:c>
      <x:c r="F80" s="34"/>
      <x:c r="G80" s="34"/>
      <x:c r="H80" s="34"/>
      <x:c r="I80" s="34"/>
      <x:c r="J80" s="34"/>
      <x:c r="K80" s="34"/>
      <x:c r="L80" s="34"/>
      <x:c r="M80" s="34"/>
      <x:c r="N80" s="34"/>
      <x:c r="O80" s="36" t="n"/>
      <x:c r="P80" s="36" t="n"/>
      <x:c r="Q80" s="35"/>
    </x:row>
    <x:row r="81" s="23" customFormat="1" ht="168" customHeight="1">
      <x:c r="A81" s="37" t="inlineStr">
        <x:is>
          <x:t xml:space="preserve">equity-pairs-trading-cointegration/main.py</x:t>
        </x:is>
      </x:c>
      <x:c r="B81" s="37" t="n">
        <x:v>9</x:v>
      </x:c>
      <x:c r="C81" s="37" t="inlineStr">
        <x:is>
          <x:t xml:space="preserve">institutional</x:t>
        </x:is>
      </x:c>
      <x:c r="D81" s="37" t="inlineStr">
        <x:is>
          <x:t xml:space="preserve">over_specified</x:t>
        </x:is>
      </x:c>
      <x:c r="E81" s="44" t="inlineStr">
        <x:is>
          <x:t xml:space="preserve">Implement the desk's pairs trading reference on KO and PEP. Resolution: minute. Window: 2022-01-01 to 2024-12-31. Capital: 100,000. Model: weekly at 09:31 via a scheduled event, and once when warm-up finishes, fit OLS of KO on PEP over the last 60 daily closes to obtain beta and alpha, and record the spread's mean and standard deviation, flooring the standard deviation at 1e-6. Signal: daily at 10:00 via a scheduled event, z-score of the current spread. Rules: z below -2 and not already long the spread, long KO 50% and short PEP 50%; z above 2 and not already short the spread, the reverse; absolute z below 0.5 while in a position, liquidate. Track the position state. Warm up 60 daily bars. Compliance: dollar-neutral legs at exactly 50% each, no net leverage beyond that, snake_case API per style guide, type annotations.</x:t>
        </x:is>
      </x:c>
      <x:c r="F81" s="34"/>
      <x:c r="G81" s="34"/>
      <x:c r="H81" s="34"/>
      <x:c r="I81" s="34"/>
      <x:c r="J81" s="34"/>
      <x:c r="K81" s="34"/>
      <x:c r="L81" s="34"/>
      <x:c r="M81" s="34"/>
      <x:c r="N81" s="34"/>
      <x:c r="O81" s="36" t="n"/>
      <x:c r="P81" s="36" t="n"/>
      <x:c r="Q81" s="35"/>
    </x:row>
    <x:row r="82" s="23" customFormat="1" ht="168" customHeight="1">
      <x:c r="A82" s="37" t="inlineStr">
        <x:is>
          <x:t xml:space="preserve">equity-pairs-trading-cointegration/main.py</x:t>
        </x:is>
      </x:c>
      <x:c r="B82" s="37" t="n">
        <x:v>10</x:v>
      </x:c>
      <x:c r="C82" s="37" t="inlineStr">
        <x:is>
          <x:t xml:space="preserve">reference</x:t>
        </x:is>
      </x:c>
      <x:c r="D82" s="37" t="inlineStr">
        <x:is>
          <x:t xml:space="preserve">ceiling</x:t>
        </x:is>
      </x:c>
      <x:c r="E82" s="44" t="inlineStr">
        <x:is>
          <x:t xml:space="preserve">QuantConnect Python, snake_case. initialize: dates 2022-01-01 to 2024-12-31, set_cash(100_000), ko/pep = add_equity(..., Resolution.MINUTE), set each security.session.size = 60, _alpha/_beta/_spread_mean/_spread_std/_state, set_warm_up(60, Resolution.DAILY), schedule.on(date_rules.week_start(), time_rules.at(9, 31), self._update_model), schedule.on(date_rules.every_day(), time_rules.at(10, 0), self._trade_logic); on_warmup_finished calls _update_model. _update_model: pull 60 session closes, np.linalg.lstsq for beta/alpha, spread = ko - (beta*pep + alpha), store mean/std. _trade_logic: z from securities[].close; z &lt; -2 and state != 1 -&gt; set_holdings([PortfolioTarget(ko, 0.5), PortfolioTarget(pep, -0.5)]), state = 1; z &gt; 2 and state != -1 -&gt; reverse, state = -1; abs(z) &lt; 0.5 and state != 0 -&gt; liquidate(), state = 0.</x:t>
        </x:is>
      </x:c>
      <x:c r="F82" s="34"/>
      <x:c r="G82" s="34"/>
      <x:c r="H82" s="34"/>
      <x:c r="I82" s="34"/>
      <x:c r="J82" s="34"/>
      <x:c r="K82" s="34"/>
      <x:c r="L82" s="34"/>
      <x:c r="M82" s="34"/>
      <x:c r="N82" s="34"/>
      <x:c r="O82" s="36" t="n"/>
      <x:c r="P82" s="36" t="n"/>
      <x:c r="Q82" s="35"/>
    </x:row>
    <x:row r="83" s="23" customFormat="1" ht="52" customHeight="1">
      <x:c r="A83" s="34" t="inlineStr">
        <x:is>
          <x:t xml:space="preserve">option-iron-condor-spy/main.py</x:t>
        </x:is>
      </x:c>
      <x:c r="B83" s="34" t="n">
        <x:v>1</x:v>
      </x:c>
      <x:c r="C83" s="34" t="inlineStr">
        <x:is>
          <x:t xml:space="preserve">individual</x:t>
        </x:is>
      </x:c>
      <x:c r="D83" s="34" t="inlineStr">
        <x:is>
          <x:t xml:space="preserve">vague</x:t>
        </x:is>
      </x:c>
      <x:c r="E83" s="44" t="inlineStr">
        <x:is>
          <x:t xml:space="preserve">I want to sell iron condors on SPY every week to collect premium. Open them Monday, close them Friday before the market closes. Last few months of 2024.</x:t>
        </x:is>
      </x:c>
      <x:c r="F83" s="34"/>
      <x:c r="G83" s="34"/>
      <x:c r="H83" s="34"/>
      <x:c r="I83" s="34"/>
      <x:c r="J83" s="34"/>
      <x:c r="K83" s="34"/>
      <x:c r="L83" s="34"/>
      <x:c r="M83" s="34"/>
      <x:c r="N83" s="34"/>
      <x:c r="O83" s="36" t="n"/>
      <x:c r="P83" s="36" t="n"/>
      <x:c r="Q83" s="35"/>
    </x:row>
    <x:row r="84" s="23" customFormat="1" ht="90" customHeight="1">
      <x:c r="A84" s="34" t="inlineStr">
        <x:is>
          <x:t xml:space="preserve">option-iron-condor-spy/main.py</x:t>
        </x:is>
      </x:c>
      <x:c r="B84" s="34" t="n">
        <x:v>2</x:v>
      </x:c>
      <x:c r="C84" s="34" t="inlineStr">
        <x:is>
          <x:t xml:space="preserve">individual</x:t>
        </x:is>
      </x:c>
      <x:c r="D84" s="34" t="inlineStr">
        <x:is>
          <x:t xml:space="preserve">precise</x:t>
        </x:is>
      </x:c>
      <x:c r="E84" s="44" t="inlineStr">
        <x:is>
          <x:t xml:space="preserve">Every Monday a minute after the open, open an iron condor on SPY expiring that Friday: sell the call closest to 0.10 delta and the put closest to -0.10 delta, and buy a call and a put 3 strikes further out, one contract. Skip the week if any leg has no bid or ask. Close everything Friday 5 minutes before the close. Sept 1 to Dec 31 2024, 100k.</x:t>
        </x:is>
      </x:c>
      <x:c r="F84" s="34"/>
      <x:c r="G84" s="34"/>
      <x:c r="H84" s="34"/>
      <x:c r="I84" s="34" t="n">
        <x:v>0</x:v>
      </x:c>
      <x:c r="J84" s="34" t="n">
        <x:v>1</x:v>
      </x:c>
      <x:c r="K84" s="34"/>
      <x:c r="L84" s="34"/>
      <x:c r="M84" s="34"/>
      <x:c r="N84" s="34"/>
      <x:c r="O84" s="36" t="n"/>
      <x:c r="P84" s="36" t="n"/>
      <x:c r="Q84" s="44" t="str">
        <x:v>Original Qwen baseline. runtime_error. 2024-09-01 00:00:00 During the algorithm initialization, the following exception has occurred: Trying to dynamically access a method that does not exist throws a TypeError exception. To prevent the exception, ensure each parameter type matches those required by the add_option method. Please checkout the API documentation. The following overloads are available</x:v>
      </x:c>
    </x:row>
    <x:row r="85" s="23" customFormat="1" ht="116" customHeight="1">
      <x:c r="A85" s="34" t="inlineStr">
        <x:is>
          <x:t xml:space="preserve">option-iron-condor-spy/main.py</x:t>
        </x:is>
      </x:c>
      <x:c r="B85" s="34" t="n">
        <x:v>3</x:v>
      </x:c>
      <x:c r="C85" s="34" t="inlineStr">
        <x:is>
          <x:t xml:space="preserve">individual</x:t>
        </x:is>
      </x:c>
      <x:c r="D85" s="34" t="inlineStr">
        <x:is>
          <x:t xml:space="preserve">over_specified</x:t>
        </x:is>
      </x:c>
      <x:c r="E85" s="44" t="inlineStr">
        <x:is>
          <x:t xml:space="preserve">Every Monday a minute after the open, open an iron condor on SPY expiring that Friday: sell the call closest to 0.10 delta and the put closest to -0.10 delta, and buy a call and a put 3 strikes further out, one contract. Skip the week if any leg has no bid or ask. Close everything Friday 5 minutes before the close. Sept 1 to Dec 31 2024, 100k. Filter the chain to strikes -10 to +10 and expiries 0 to 7 days so it loads fast, use the built-in iron condor strategy helper, call the class WeeklyCondor, and comment each leg.</x:t>
        </x:is>
      </x:c>
      <x:c r="F85" s="34"/>
      <x:c r="G85" s="34"/>
      <x:c r="H85" s="34"/>
      <x:c r="I85" s="34"/>
      <x:c r="J85" s="34"/>
      <x:c r="K85" s="34"/>
      <x:c r="L85" s="34"/>
      <x:c r="M85" s="34"/>
      <x:c r="N85" s="34"/>
      <x:c r="O85" s="36" t="n"/>
      <x:c r="P85" s="36" t="n"/>
      <x:c r="Q85" s="35"/>
    </x:row>
    <x:row r="86" s="23" customFormat="1" ht="52" customHeight="1">
      <x:c r="A86" s="34" t="inlineStr">
        <x:is>
          <x:t xml:space="preserve">option-iron-condor-spy/main.py</x:t>
        </x:is>
      </x:c>
      <x:c r="B86" s="34" t="n">
        <x:v>4</x:v>
      </x:c>
      <x:c r="C86" s="34" t="inlineStr">
        <x:is>
          <x:t xml:space="preserve">startup</x:t>
        </x:is>
      </x:c>
      <x:c r="D86" s="34" t="inlineStr">
        <x:is>
          <x:t xml:space="preserve">vague</x:t>
        </x:is>
      </x:c>
      <x:c r="E86" s="44" t="inlineStr">
        <x:is>
          <x:t xml:space="preserve">SPY weekly IC. Mon open sell 10d strangle, wings +3 strikes, Fri expiry, close Fri before bell. Q4 2024.</x:t>
        </x:is>
      </x:c>
      <x:c r="F86" s="34"/>
      <x:c r="G86" s="34"/>
      <x:c r="H86" s="34"/>
      <x:c r="I86" s="34"/>
      <x:c r="J86" s="34"/>
      <x:c r="K86" s="34"/>
      <x:c r="L86" s="34"/>
      <x:c r="M86" s="34"/>
      <x:c r="N86" s="34"/>
      <x:c r="O86" s="36" t="n"/>
      <x:c r="P86" s="36" t="n"/>
      <x:c r="Q86" s="35"/>
    </x:row>
    <x:row r="87" s="23" customFormat="1" ht="77" customHeight="1">
      <x:c r="A87" s="34" t="inlineStr">
        <x:is>
          <x:t xml:space="preserve">option-iron-condor-spy/main.py</x:t>
        </x:is>
      </x:c>
      <x:c r="B87" s="34" t="n">
        <x:v>5</x:v>
      </x:c>
      <x:c r="C87" s="34" t="inlineStr">
        <x:is>
          <x:t xml:space="preserve">startup</x:t>
        </x:is>
      </x:c>
      <x:c r="D87" s="34" t="inlineStr">
        <x:is>
          <x:t xml:space="preserve">precise</x:t>
        </x:is>
      </x:c>
      <x:c r="E87" s="44" t="inlineStr">
        <x:is>
          <x:t xml:space="preserve">SPY options, filter strikes(-10,10) expiration(0,7). Mon +1m after open: expiry = this Fri; short call nearest +0.10 delta, short put nearest -0.10 delta, wings 3 strikes out; skip if any leg missing bid/ask; buy OptionStrategies.iron_condor x1. Fri -5m before close: liquidate. 2024-09-01 to 2024-12-31, 100k.</x:t>
        </x:is>
      </x:c>
      <x:c r="F87" s="34"/>
      <x:c r="G87" s="34"/>
      <x:c r="H87" s="34"/>
      <x:c r="I87" s="34"/>
      <x:c r="J87" s="34"/>
      <x:c r="K87" s="34"/>
      <x:c r="L87" s="34"/>
      <x:c r="M87" s="34"/>
      <x:c r="N87" s="34"/>
      <x:c r="O87" s="36" t="n"/>
      <x:c r="P87" s="36" t="n"/>
      <x:c r="Q87" s="35"/>
    </x:row>
    <x:row r="88" s="23" customFormat="1" ht="103" customHeight="1">
      <x:c r="A88" s="34" t="inlineStr">
        <x:is>
          <x:t xml:space="preserve">option-iron-condor-spy/main.py</x:t>
        </x:is>
      </x:c>
      <x:c r="B88" s="34" t="n">
        <x:v>6</x:v>
      </x:c>
      <x:c r="C88" s="34" t="inlineStr">
        <x:is>
          <x:t xml:space="preserve">startup</x:t>
        </x:is>
      </x:c>
      <x:c r="D88" s="34" t="inlineStr">
        <x:is>
          <x:t xml:space="preserve">over_specified</x:t>
        </x:is>
      </x:c>
      <x:c r="E88" s="44" t="inlineStr">
        <x:is>
          <x:t xml:space="preserve">SPY options, filter strikes(-10,10) expiration(0,7). Mon +1m after open via schedule: expiry = this Fri; need &gt;= 4 calls and &gt;= 4 puts; short call nearest +0.10 delta, short put nearest -0.10 delta, wings 3 strikes out in sorted strike list with bounds check; skip if any leg missing bid/ask; buy OptionStrategies.iron_condor x1. Fri -5m before close via schedule: liquidate. 2024-09-01 to 2024-12-31, 100k. Seed initial prices, use self.option_chain not slice, snake_case.</x:t>
        </x:is>
      </x:c>
      <x:c r="F88" s="34"/>
      <x:c r="G88" s="34"/>
      <x:c r="H88" s="34"/>
      <x:c r="I88" s="34"/>
      <x:c r="J88" s="34"/>
      <x:c r="K88" s="34"/>
      <x:c r="L88" s="34"/>
      <x:c r="M88" s="34"/>
      <x:c r="N88" s="34"/>
      <x:c r="O88" s="36" t="n"/>
      <x:c r="P88" s="36" t="n"/>
      <x:c r="Q88" s="35"/>
    </x:row>
    <x:row r="89" s="23" customFormat="1" ht="77" customHeight="1">
      <x:c r="A89" s="34" t="inlineStr">
        <x:is>
          <x:t xml:space="preserve">option-iron-condor-spy/main.py</x:t>
        </x:is>
      </x:c>
      <x:c r="B89" s="34" t="n">
        <x:v>7</x:v>
      </x:c>
      <x:c r="C89" s="34" t="inlineStr">
        <x:is>
          <x:t xml:space="preserve">institutional</x:t>
        </x:is>
      </x:c>
      <x:c r="D89" s="34" t="inlineStr">
        <x:is>
          <x:t xml:space="preserve">vague</x:t>
        </x:is>
      </x:c>
      <x:c r="E89" s="44" t="inlineStr">
        <x:is>
          <x:t xml:space="preserve">We need a weekly SPY iron condor income reference for the September to December 2024 window, consistent with our internal implementation: short strikes near 10 delta, defined-risk wings, opened Monday and closed before Friday's close. Standard paper account.</x:t>
        </x:is>
      </x:c>
      <x:c r="F89" s="34"/>
      <x:c r="G89" s="34"/>
      <x:c r="H89" s="34"/>
      <x:c r="I89" s="34" t="n">
        <x:v>0</x:v>
      </x:c>
      <x:c r="J89" s="34" t="n">
        <x:v>1</x:v>
      </x:c>
      <x:c r="K89" s="34"/>
      <x:c r="L89" s="34"/>
      <x:c r="M89" s="34"/>
      <x:c r="N89" s="34"/>
      <x:c r="O89" s="36" t="n"/>
      <x:c r="P89" s="36" t="n"/>
      <x:c r="Q89" s="44" t="str">
        <x:v>Original Qwen baseline. runtime_error. 2024-09-02 00:00:00 During the algorithm initialization, the following exception has occurred: type object 'DateRules' has no attribute 'Weekly' at Initialize date_rule=DateRules.Weekly(Week.Monday), ^^^^^^^^^^^^^^^^ in main.py: line 19 type object 'DateRules' has no attribute 'Weekly'</x:v>
      </x:c>
    </x:row>
    <x:row r="90" s="23" customFormat="1" ht="103" customHeight="1">
      <x:c r="A90" s="34" t="inlineStr">
        <x:is>
          <x:t xml:space="preserve">option-iron-condor-spy/main.py</x:t>
        </x:is>
      </x:c>
      <x:c r="B90" s="34" t="n">
        <x:v>8</x:v>
      </x:c>
      <x:c r="C90" s="34" t="inlineStr">
        <x:is>
          <x:t xml:space="preserve">institutional</x:t>
        </x:is>
      </x:c>
      <x:c r="D90" s="34" t="inlineStr">
        <x:is>
          <x:t xml:space="preserve">precise</x:t>
        </x:is>
      </x:c>
      <x:c r="E90" s="44" t="inlineStr">
        <x:is>
          <x:t xml:space="preserve">Implement the desk's weekly SPY iron condor reference. Window: 2024-09-01 to 2024-12-31. Capital: 100,000. Chain filter: strikes -10 to +10 around the money, expiries 0 to 7 days. Open: every Monday one minute after the open, using contracts expiring that Friday; short call nearest +0.10 delta, short put nearest -0.10 delta, long call and long put 3 strikes further out; one iron condor; skip if any leg lacks a bid or ask. Close: every Friday five minutes before the close, liquidate all positions.</x:t>
        </x:is>
      </x:c>
      <x:c r="F90" s="34"/>
      <x:c r="G90" s="34"/>
      <x:c r="H90" s="34"/>
      <x:c r="I90" s="34"/>
      <x:c r="J90" s="34"/>
      <x:c r="K90" s="34"/>
      <x:c r="L90" s="34"/>
      <x:c r="M90" s="34"/>
      <x:c r="N90" s="34"/>
      <x:c r="O90" s="36" t="n"/>
      <x:c r="P90" s="36" t="n"/>
      <x:c r="Q90" s="35"/>
    </x:row>
    <x:row r="91" s="23" customFormat="1" ht="155" customHeight="1">
      <x:c r="A91" s="34" t="inlineStr">
        <x:is>
          <x:t xml:space="preserve">option-iron-condor-spy/main.py</x:t>
        </x:is>
      </x:c>
      <x:c r="B91" s="34" t="n">
        <x:v>9</x:v>
      </x:c>
      <x:c r="C91" s="34" t="inlineStr">
        <x:is>
          <x:t xml:space="preserve">institutional</x:t>
        </x:is>
      </x:c>
      <x:c r="D91" s="34" t="inlineStr">
        <x:is>
          <x:t xml:space="preserve">over_specified</x:t>
        </x:is>
      </x:c>
      <x:c r="E91" s="44" t="inlineStr">
        <x:is>
          <x:t xml:space="preserve">Implement the desk's weekly SPY iron condor reference. Window: 2024-09-01 to 2024-12-31. Capital: 100,000. Chain filter: strikes -10 to +10 around the money, expiries 0 to 7 days. Open: every Monday one minute after the open via a scheduled event, using contracts expiring that Friday; require at least 4 calls and 4 puts; short call nearest +0.10 delta, short put nearest -0.10 delta, long call and long put 3 strikes further out with bounds checks; one iron condor via the OptionStrategies helper; skip if any leg lacks a bid or ask. Close: every Friday five minutes before the close via a scheduled event, liquidate all positions. Compliance: defined risk only, one condor at a time, seed initial prices, snake_case API per style guide, type annotations, no naked short options.</x:t>
        </x:is>
      </x:c>
      <x:c r="F91" s="34"/>
      <x:c r="G91" s="34"/>
      <x:c r="H91" s="34"/>
      <x:c r="I91" s="34"/>
      <x:c r="J91" s="34"/>
      <x:c r="K91" s="34"/>
      <x:c r="L91" s="34"/>
      <x:c r="M91" s="34"/>
      <x:c r="N91" s="34"/>
      <x:c r="O91" s="36" t="n"/>
      <x:c r="P91" s="36" t="n"/>
      <x:c r="Q91" s="35"/>
    </x:row>
    <x:row r="92" s="23" customFormat="1" ht="194" customHeight="1">
      <x:c r="A92" s="34" t="inlineStr">
        <x:is>
          <x:t xml:space="preserve">option-iron-condor-spy/main.py</x:t>
        </x:is>
      </x:c>
      <x:c r="B92" s="34" t="n">
        <x:v>10</x:v>
      </x:c>
      <x:c r="C92" s="34" t="inlineStr">
        <x:is>
          <x:t xml:space="preserve">reference</x:t>
        </x:is>
      </x:c>
      <x:c r="D92" s="34" t="inlineStr">
        <x:is>
          <x:t xml:space="preserve">ceiling</x:t>
        </x:is>
      </x:c>
      <x:c r="E92" s="44" t="inlineStr">
        <x:is>
          <x:t xml:space="preserve">QuantConnect Python, snake_case. initialize: set_start_date(2024, 9, 1), set_end_date(2024, 12, 31), set_cash(100000), settings.seed_initial_prices = True, _option = add_option('SPY'), _option.set_filter(lambda u: u.strikes(-10, 10).expiration(0, 7)), schedule.on(date_rules.every(DayOfWeek.MONDAY), time_rules.after_market_open(_option, 1), self._open_iron_condor), schedule.on(date_rules.every(DayOfWeek.FRIDAY), time_rules.before_market_close(_option, 5), self._close). _open_iron_condor: next_friday = (self.time + timedelta(4)).date(); chain = [x for x in self.option_chain(_option) if x.expiry.date() == next_friday]; split calls/puts sorted by strike; shorts by abs(greeks.delta -/+ 0.10); wings at sorted-strike index +/-3 with bounds check; require bid_price and ask_price on all four; self.buy(OptionStrategies.iron_condor(_option.symbol, long_put.strike, short_put.strike, short_call.strike, long_call.strike, next_friday), 1). _close: liquidate().</x:t>
        </x:is>
      </x:c>
      <x:c r="F92" s="34"/>
      <x:c r="G92" s="34"/>
      <x:c r="H92" s="34"/>
      <x:c r="I92" s="34"/>
      <x:c r="J92" s="34"/>
      <x:c r="K92" s="34"/>
      <x:c r="L92" s="34"/>
      <x:c r="M92" s="34"/>
      <x:c r="N92" s="34"/>
      <x:c r="O92" s="36" t="n"/>
      <x:c r="P92" s="36" t="n"/>
      <x:c r="Q92" s="35"/>
    </x:row>
    <x:row r="93" s="23" customFormat="1" ht="52" customHeight="1">
      <x:c r="A93" s="37" t="inlineStr">
        <x:is>
          <x:t xml:space="preserve">futures/main.py</x:t>
        </x:is>
      </x:c>
      <x:c r="B93" s="37" t="n">
        <x:v>1</x:v>
      </x:c>
      <x:c r="C93" s="37" t="inlineStr">
        <x:is>
          <x:t xml:space="preserve">individual</x:t>
        </x:is>
      </x:c>
      <x:c r="D93" s="37" t="inlineStr">
        <x:is>
          <x:t xml:space="preserve">vague</x:t>
        </x:is>
      </x:c>
      <x:c r="E93" s="44" t="inlineStr">
        <x:is>
          <x:t xml:space="preserve">I just want to hold one S&amp;P 500 e-mini futures contract and have the bot handle switching to the next contract when it expires. Last few months of 2024.</x:t>
        </x:is>
      </x:c>
      <x:c r="F93" s="34"/>
      <x:c r="G93" s="34"/>
      <x:c r="H93" s="34"/>
      <x:c r="I93" s="34"/>
      <x:c r="J93" s="34"/>
      <x:c r="K93" s="34"/>
      <x:c r="L93" s="34"/>
      <x:c r="M93" s="34"/>
      <x:c r="N93" s="34"/>
      <x:c r="O93" s="36" t="n"/>
      <x:c r="P93" s="36" t="n"/>
      <x:c r="Q93" s="35"/>
    </x:row>
    <x:row r="94" s="23" customFormat="1" ht="64" customHeight="1">
      <x:c r="A94" s="37" t="inlineStr">
        <x:is>
          <x:t xml:space="preserve">futures/main.py</x:t>
        </x:is>
      </x:c>
      <x:c r="B94" s="37" t="n">
        <x:v>2</x:v>
      </x:c>
      <x:c r="C94" s="37" t="inlineStr">
        <x:is>
          <x:t xml:space="preserve">individual</x:t>
        </x:is>
      </x:c>
      <x:c r="D94" s="37" t="inlineStr">
        <x:is>
          <x:t xml:space="preserve">precise</x:t>
        </x:is>
      </x:c>
      <x:c r="E94" s="44" t="inlineStr">
        <x:is>
          <x:t xml:space="preserve">Add the E-mini S&amp;P 500 continuous future. Whenever I have no position, buy one contract of the currently mapped month. When the continuous contract rolls to a new month, sell the old contract and buy the same number of the new one. Sept 1 to Dec 31 2024.</x:t>
        </x:is>
      </x:c>
      <x:c r="F94" s="34"/>
      <x:c r="G94" s="34"/>
      <x:c r="H94" s="34"/>
      <x:c r="I94" s="34"/>
      <x:c r="J94" s="34"/>
      <x:c r="K94" s="34"/>
      <x:c r="L94" s="34"/>
      <x:c r="M94" s="34"/>
      <x:c r="N94" s="34"/>
      <x:c r="O94" s="36" t="n"/>
      <x:c r="P94" s="36" t="n"/>
      <x:c r="Q94" s="35"/>
    </x:row>
    <x:row r="95" s="23" customFormat="1" ht="103" customHeight="1">
      <x:c r="A95" s="37" t="inlineStr">
        <x:is>
          <x:t xml:space="preserve">futures/main.py</x:t>
        </x:is>
      </x:c>
      <x:c r="B95" s="37" t="n">
        <x:v>3</x:v>
      </x:c>
      <x:c r="C95" s="37" t="inlineStr">
        <x:is>
          <x:t xml:space="preserve">individual</x:t>
        </x:is>
      </x:c>
      <x:c r="D95" s="37" t="inlineStr">
        <x:is>
          <x:t xml:space="preserve">over_specified</x:t>
        </x:is>
      </x:c>
      <x:c r="E95" s="44" t="inlineStr">
        <x:is>
          <x:t xml:space="preserve">Add the E-mini S&amp;P 500 continuous future with last-trading-day mapping and backwards-ratio normalization, extended hours on. Whenever I have no position, buy one contract of the currently mapped month. When the continuous contract rolls to a new month, sell the old contract and buy the same number of the new one, and tag those orders 'Rollover' so I can find them in the log. Sept 1 to Dec 31 2024. Call the class EsRoll and comment the rollover handler.</x:t>
        </x:is>
      </x:c>
      <x:c r="F95" s="34"/>
      <x:c r="G95" s="34"/>
      <x:c r="H95" s="34"/>
      <x:c r="I95" s="34"/>
      <x:c r="J95" s="34"/>
      <x:c r="K95" s="34"/>
      <x:c r="L95" s="34"/>
      <x:c r="M95" s="34"/>
      <x:c r="N95" s="34"/>
      <x:c r="O95" s="36" t="n"/>
      <x:c r="P95" s="36" t="n"/>
      <x:c r="Q95" s="35"/>
    </x:row>
    <x:row r="96" s="23" customFormat="1" ht="52" customHeight="1">
      <x:c r="A96" s="37" t="inlineStr">
        <x:is>
          <x:t xml:space="preserve">futures/main.py</x:t>
        </x:is>
      </x:c>
      <x:c r="B96" s="37" t="n">
        <x:v>4</x:v>
      </x:c>
      <x:c r="C96" s="37" t="inlineStr">
        <x:is>
          <x:t xml:space="preserve">startup</x:t>
        </x:is>
      </x:c>
      <x:c r="D96" s="37" t="inlineStr">
        <x:is>
          <x:t xml:space="preserve">vague</x:t>
        </x:is>
      </x:c>
      <x:c r="E96" s="44" t="inlineStr">
        <x:is>
          <x:t xml:space="preserve">Long 1 ES continuous front month, roll on symbol change. Q4 2024.</x:t>
        </x:is>
      </x:c>
      <x:c r="F96" s="34"/>
      <x:c r="G96" s="34"/>
      <x:c r="H96" s="34"/>
      <x:c r="I96" s="34"/>
      <x:c r="J96" s="34"/>
      <x:c r="K96" s="34"/>
      <x:c r="L96" s="34"/>
      <x:c r="M96" s="34"/>
      <x:c r="N96" s="34"/>
      <x:c r="O96" s="36" t="n"/>
      <x:c r="P96" s="36" t="n"/>
      <x:c r="Q96" s="35"/>
    </x:row>
    <x:row r="97" s="23" customFormat="1" ht="77" customHeight="1">
      <x:c r="A97" s="37" t="inlineStr">
        <x:is>
          <x:t xml:space="preserve">futures/main.py</x:t>
        </x:is>
      </x:c>
      <x:c r="B97" s="37" t="n">
        <x:v>5</x:v>
      </x:c>
      <x:c r="C97" s="37" t="inlineStr">
        <x:is>
          <x:t xml:space="preserve">startup</x:t>
        </x:is>
      </x:c>
      <x:c r="D97" s="37" t="inlineStr">
        <x:is>
          <x:t xml:space="preserve">precise</x:t>
        </x:is>
      </x:c>
      <x:c r="E97" s="44" t="inlineStr">
        <x:is>
          <x:t xml:space="preserve">ES (SP_500_E_MINI) continuous: LAST_TRADING_DAY mapping, BACKWARDS_RATIO, depth 0, ext hours, filter 0-92d. Flat -&gt; market order 1 of .mapped. on_symbol_changed_events: liquidate old, re-enter same qty on new. 2024-09-01 to 2024-12-31.</x:t>
        </x:is>
      </x:c>
      <x:c r="F97" s="34"/>
      <x:c r="G97" s="34"/>
      <x:c r="H97" s="34"/>
      <x:c r="I97" s="34" t="n">
        <x:v>0</x:v>
      </x:c>
      <x:c r="J97" s="34" t="n">
        <x:v>1</x:v>
      </x:c>
      <x:c r="K97" s="34"/>
      <x:c r="L97" s="34"/>
      <x:c r="M97" s="34"/>
      <x:c r="N97" s="34"/>
      <x:c r="O97" s="36" t="n"/>
      <x:c r="P97" s="36" t="n"/>
      <x:c r="Q97" s="44" t="str">
        <x:v>Original Qwen baseline. runtime_error. 2024-09-01 00:00:00 During the algorithm initialization, the following exception has occurred: name 'MarketDataMappingMethod' is not defined at Initialize MarketDataMappingMethod.LAST_TRADING_DAY, ^^^^^^^^^^^^^^^^^^^^^^^ in main.py: line 21 name 'MarketDataMappingMethod' is not defined</x:v>
      </x:c>
    </x:row>
    <x:row r="98" s="23" customFormat="1" ht="103" customHeight="1">
      <x:c r="A98" s="37" t="inlineStr">
        <x:is>
          <x:t xml:space="preserve">futures/main.py</x:t>
        </x:is>
      </x:c>
      <x:c r="B98" s="37" t="n">
        <x:v>6</x:v>
      </x:c>
      <x:c r="C98" s="37" t="inlineStr">
        <x:is>
          <x:t xml:space="preserve">startup</x:t>
        </x:is>
      </x:c>
      <x:c r="D98" s="37" t="inlineStr">
        <x:is>
          <x:t xml:space="preserve">over_specified</x:t>
        </x:is>
      </x:c>
      <x:c r="E98" s="44" t="inlineStr">
        <x:is>
          <x:t xml:space="preserve">ES (SP_500_E_MINI) continuous: LAST_TRADING_DAY mapping, BACKWARDS_RATIO, contract_depth_offset 0, extended_market_hours, set_filter(0, 92), universe_settings.asynchronous True. on_data: if invested return; market_order(future.mapped, 1). on_symbol_changed_events: for each event, qty = portfolio[old].quantity, liquidate(old, tag=rollover tag), market_order(new, qty, same tag). 2024-09-01 to 2024-12-31. snake_case, no set_cash call, no indicators.</x:t>
        </x:is>
      </x:c>
      <x:c r="F98" s="34"/>
      <x:c r="G98" s="34"/>
      <x:c r="H98" s="34"/>
      <x:c r="I98" s="34"/>
      <x:c r="J98" s="34"/>
      <x:c r="K98" s="34"/>
      <x:c r="L98" s="34"/>
      <x:c r="M98" s="34"/>
      <x:c r="N98" s="34"/>
      <x:c r="O98" s="36" t="n"/>
      <x:c r="P98" s="36" t="n"/>
      <x:c r="Q98" s="35"/>
    </x:row>
    <x:row r="99" s="23" customFormat="1" ht="52" customHeight="1">
      <x:c r="A99" s="37" t="inlineStr">
        <x:is>
          <x:t xml:space="preserve">futures/main.py</x:t>
        </x:is>
      </x:c>
      <x:c r="B99" s="37" t="n">
        <x:v>7</x:v>
      </x:c>
      <x:c r="C99" s="37" t="inlineStr">
        <x:is>
          <x:t xml:space="preserve">institutional</x:t>
        </x:is>
      </x:c>
      <x:c r="D99" s="37" t="inlineStr">
        <x:is>
          <x:t xml:space="preserve">vague</x:t>
        </x:is>
      </x:c>
      <x:c r="E99" s="44" t="inlineStr">
        <x:is>
          <x:t xml:space="preserve">We need a baseline long exposure to the E-mini S&amp;P 500 future for the September to December 2024 window, consistent with our internal implementation, with contract rolls handled automatically. Standard paper account.</x:t>
        </x:is>
      </x:c>
      <x:c r="F99" s="34"/>
      <x:c r="G99" s="34"/>
      <x:c r="H99" s="34"/>
      <x:c r="I99" s="34"/>
      <x:c r="J99" s="34"/>
      <x:c r="K99" s="34"/>
      <x:c r="L99" s="34"/>
      <x:c r="M99" s="34"/>
      <x:c r="N99" s="34"/>
      <x:c r="O99" s="36" t="n"/>
      <x:c r="P99" s="36" t="n"/>
      <x:c r="Q99" s="35"/>
    </x:row>
    <x:row r="100" s="23" customFormat="1" ht="103" customHeight="1">
      <x:c r="A100" s="37" t="inlineStr">
        <x:is>
          <x:t xml:space="preserve">futures/main.py</x:t>
        </x:is>
      </x:c>
      <x:c r="B100" s="37" t="n">
        <x:v>8</x:v>
      </x:c>
      <x:c r="C100" s="37" t="inlineStr">
        <x:is>
          <x:t xml:space="preserve">institutional</x:t>
        </x:is>
      </x:c>
      <x:c r="D100" s="37" t="inlineStr">
        <x:is>
          <x:t xml:space="preserve">precise</x:t>
        </x:is>
      </x:c>
      <x:c r="E100" s="44" t="inlineStr">
        <x:is>
          <x:t xml:space="preserve">Implement the desk's continuous futures reference. Contract: E-mini S&amp;P 500 (Futures.Indices.SP_500_E_MINI), continuous series with last-trading-day mapping and backwards-ratio normalization, depth offset 0, extended market hours, contract filter 0 to 92 days. Window: 2024-09-01 to 2024-12-31. Rules: when flat, market order one contract of the mapped contract. Rollover: on each symbol-changed event, liquidate the old contract and re-establish the same quantity in the new one.</x:t>
        </x:is>
      </x:c>
      <x:c r="F100" s="34"/>
      <x:c r="G100" s="34"/>
      <x:c r="H100" s="34"/>
      <x:c r="I100" s="34"/>
      <x:c r="J100" s="34"/>
      <x:c r="K100" s="34"/>
      <x:c r="L100" s="34"/>
      <x:c r="M100" s="34"/>
      <x:c r="N100" s="34"/>
      <x:c r="O100" s="36" t="n"/>
      <x:c r="P100" s="36" t="n"/>
      <x:c r="Q100" s="35"/>
    </x:row>
    <x:row r="101" s="23" customFormat="1" ht="155" customHeight="1">
      <x:c r="A101" s="37" t="inlineStr">
        <x:is>
          <x:t xml:space="preserve">futures/main.py</x:t>
        </x:is>
      </x:c>
      <x:c r="B101" s="37" t="n">
        <x:v>9</x:v>
      </x:c>
      <x:c r="C101" s="37" t="inlineStr">
        <x:is>
          <x:t xml:space="preserve">institutional</x:t>
        </x:is>
      </x:c>
      <x:c r="D101" s="37" t="inlineStr">
        <x:is>
          <x:t xml:space="preserve">over_specified</x:t>
        </x:is>
      </x:c>
      <x:c r="E101" s="44" t="inlineStr">
        <x:is>
          <x:t xml:space="preserve">Implement the desk's continuous futures reference. Contract: E-mini S&amp;P 500 (Futures.Indices.SP_500_E_MINI), continuous series with last-trading-day mapping and backwards-ratio normalization, depth offset 0, extended market hours, contract filter 0 to 92 days, asynchronous universe settings. Window: 2024-09-01 to 2024-12-31. Rules: when flat, market order one contract of the mapped contract. Rollover: in on_symbol_changed_events, for each event read the old contract's quantity, liquidate it with a rollover tag that names both symbols and the time, and market order the same quantity on the new contract with the same tag. Compliance: one contract maximum, all rollover orders tagged for audit, snake_case API per style guide, type annotations, docstring on the rollover handler.</x:t>
        </x:is>
      </x:c>
      <x:c r="F101" s="34"/>
      <x:c r="G101" s="34"/>
      <x:c r="H101" s="34"/>
      <x:c r="I101" s="34"/>
      <x:c r="J101" s="34"/>
      <x:c r="K101" s="34"/>
      <x:c r="L101" s="34"/>
      <x:c r="M101" s="34"/>
      <x:c r="N101" s="34"/>
      <x:c r="O101" s="36" t="n"/>
      <x:c r="P101" s="36" t="n"/>
      <x:c r="Q101" s="35"/>
    </x:row>
    <x:row r="102" s="23" customFormat="1" ht="155" customHeight="1">
      <x:c r="A102" s="37" t="inlineStr">
        <x:is>
          <x:t xml:space="preserve">futures/main.py</x:t>
        </x:is>
      </x:c>
      <x:c r="B102" s="37" t="n">
        <x:v>10</x:v>
      </x:c>
      <x:c r="C102" s="37" t="inlineStr">
        <x:is>
          <x:t xml:space="preserve">reference</x:t>
        </x:is>
      </x:c>
      <x:c r="D102" s="37" t="inlineStr">
        <x:is>
          <x:t xml:space="preserve">ceiling</x:t>
        </x:is>
      </x:c>
      <x:c r="E102" s="44" t="inlineStr">
        <x:is>
          <x:t xml:space="preserve">QuantConnect Python, snake_case. initialize: set_start_date(2024, 9, 1), set_end_date(2024, 12, 31), universe_settings.asynchronous = True, _future = add_future(Futures.Indices.SP_500_E_MINI, extended_market_hours=True, data_mapping_mode=DataMappingMode.LAST_TRADING_DAY, data_normalization_mode=DataNormalizationMode.BACKWARDS_RATIO, contract_depth_offset=0), _future.set_filter(0, 92). on_data: if portfolio.invested return; market_order(_future.mapped, 1). on_symbol_changed_events(events): for symbol, ev in events.items(): old = self.symbol(ev.old_symbol); new = self.symbol(ev.new_symbol); qty = portfolio[old].quantity; tag = f'Rollover - {old.value} -&gt; {new.value}'; liquidate(old, tag=tag); if qty: market_order(new, qty, tag=tag).</x:t>
        </x:is>
      </x:c>
      <x:c r="F102" s="34"/>
      <x:c r="G102" s="34"/>
      <x:c r="H102" s="34"/>
      <x:c r="I102" s="34"/>
      <x:c r="J102" s="34"/>
      <x:c r="K102" s="34"/>
      <x:c r="L102" s="34"/>
      <x:c r="M102" s="34"/>
      <x:c r="N102" s="34"/>
      <x:c r="O102" s="36" t="n"/>
      <x:c r="P102" s="36" t="n"/>
      <x:c r="Q102" s="35"/>
    </x:row>
  </x:sheetData>
  <x:mergeCells>
    <x:mergeCell ref="L1:N1"/>
    <x:mergeCell ref="F1:H1"/>
    <x:mergeCell ref="I1:K1"/>
    <x:mergeCell ref="O1:P1"/>
    <x:mergeCell ref="A1:E1"/>
  </x:mergeCells>
  <x:dataValidations count="2">
    <x:dataValidation type="list" errorStyle="stop" operator="between" allowBlank="1" showDropDown="0" showInputMessage="0" showErrorMessage="0" sqref="O3:O102">
      <x:formula1>"Y,N"</x:formula1>
      <x:formula2>0</x:formula2>
    </x:dataValidation>
    <x:dataValidation type="whole" errorStyle="stop" operator="between" allowBlank="1" showDropDown="0" showInputMessage="0" showErrorMessage="0" sqref="P3:P102">
      <x:formula1>1</x:formula1>
      <x:formula2>5</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baseColWidth="8" defaultColWidth="8.6796875" defaultRowHeight="15"/>
  <x:cols>
    <x:col min="1" max="1" width="58" style="22" hidden="0" customWidth="1"/>
    <x:col min="2" max="5" width="22" style="22" customWidth="1"/>
    <x:col min="2" max="2" width="28" hidden="0" customWidth="1"/>
    <x:col min="3" max="3" width="28" hidden="0" customWidth="1"/>
    <x:col min="4" max="4" width="28" hidden="0" customWidth="1"/>
    <x:col min="5" max="5" width="28" hidden="0" customWidth="1"/>
  </x:cols>
  <x:sheetData>
    <x:row r="1" s="23" customFormat="1" ht="17.350000381469727" customHeight="1">
      <x:c r="A1" s="24" t="inlineStr">
        <x:is>
          <x:t xml:space="preserve">Summary (computed from Results)</x:t>
        </x:is>
      </x:c>
    </x:row>
    <x:row r="3" s="23" customFormat="1" ht="15" customHeight="1">
      <x:c r="A3" s="28" t="inlineStr">
        <x:is>
          <x:t xml:space="preserve">Metric</x:t>
        </x:is>
      </x:c>
      <x:c r="B3" s="28" t="inlineStr">
        <x:is>
          <x:t xml:space="preserve">Fable (reference)</x:t>
        </x:is>
      </x:c>
      <x:c r="C3" s="28" t="inlineStr">
        <x:is>
          <x:t xml:space="preserve">Qwen base</x:t>
        </x:is>
      </x:c>
      <x:c r="D3" s="28" t="inlineStr">
        <x:is>
          <x:t xml:space="preserve">Qwen tuned</x:t>
        </x:is>
      </x:c>
      <x:c r="E3" s="28" t="inlineStr">
        <x:is>
          <x:t xml:space="preserve">Change (tuned - base)</x:t>
        </x:is>
      </x:c>
    </x:row>
    <x:row r="4" s="23" customFormat="1" ht="15" customHeight="1">
      <x:c r="A4" s="25" t="inlineStr">
        <x:is>
          <x:t xml:space="preserve">Prompts scored</x:t>
        </x:is>
      </x:c>
      <x:c r="B4" s="38" t="n">
        <x:f>COUNT(Results!$F$3:$F$102)</x:f>
        <x:v>0</x:v>
      </x:c>
      <x:c r="C4" s="38" t="n">
        <x:f>COUNT(Results!$I$3:$I$102)</x:f>
        <x:v>10</x:v>
      </x:c>
      <x:c r="D4" s="38" t="n">
        <x:f>COUNT(Results!$L$3:$L$102)</x:f>
        <x:v>0</x:v>
      </x:c>
      <x:c r="E4" s="38" t="str">
        <x:f>IF($D$4=0,"-",IFERROR(D4-C4,"-"))</x:f>
        <x:v>-</x:v>
      </x:c>
    </x:row>
    <x:row r="5" s="23" customFormat="1" ht="15" customHeight="1">
      <x:c r="A5" s="25" t="inlineStr">
        <x:is>
          <x:t xml:space="preserve">Total compile errors</x:t>
        </x:is>
      </x:c>
      <x:c r="B5" s="38" t="n">
        <x:f>SUM(Results!$F$3:$F$102)</x:f>
        <x:v>0</x:v>
      </x:c>
      <x:c r="C5" s="38" t="n">
        <x:f>SUM(Results!$I$3:$I$102)</x:f>
        <x:v>0</x:v>
      </x:c>
      <x:c r="D5" s="38" t="n">
        <x:f>SUM(Results!$L$3:$L$102)</x:f>
        <x:v>0</x:v>
      </x:c>
      <x:c r="E5" s="38" t="str">
        <x:f>IF($D$4=0,"-",IFERROR(D5-C5,"-"))</x:f>
        <x:v>-</x:v>
      </x:c>
    </x:row>
    <x:row r="6" s="23" customFormat="1" ht="15" customHeight="1">
      <x:c r="A6" s="25" t="inlineStr">
        <x:is>
          <x:t xml:space="preserve">Total runtime errors</x:t>
        </x:is>
      </x:c>
      <x:c r="B6" s="38" t="n">
        <x:f>SUM(Results!$G$3:$G$102)</x:f>
        <x:v>0</x:v>
      </x:c>
      <x:c r="C6" s="38" t="n">
        <x:f>SUM(Results!$J$3:$J$102)</x:f>
        <x:v>10</x:v>
      </x:c>
      <x:c r="D6" s="38" t="n">
        <x:f>SUM(Results!$M$3:$M$102)</x:f>
        <x:v>0</x:v>
      </x:c>
      <x:c r="E6" s="38" t="str">
        <x:f>IF($D$4=0,"-",IFERROR(D6-C6,"-"))</x:f>
        <x:v>-</x:v>
      </x:c>
    </x:row>
    <x:row r="7" s="23" customFormat="1" ht="15" customHeight="1">
      <x:c r="A7" s="25" t="inlineStr">
        <x:is>
          <x:t xml:space="preserve">Total errors</x:t>
        </x:is>
      </x:c>
      <x:c r="B7" s="38" t="n">
        <x:f>SUM(Results!$F$3:$F$102)+SUM(Results!$G$3:$G$102)</x:f>
        <x:v>0</x:v>
      </x:c>
      <x:c r="C7" s="38" t="n">
        <x:f>SUM(Results!$I$3:$I$102)+SUM(Results!$J$3:$J$102)</x:f>
        <x:v>10</x:v>
      </x:c>
      <x:c r="D7" s="38" t="n">
        <x:f>SUM(Results!$L$3:$L$102)+SUM(Results!$M$3:$M$102)</x:f>
        <x:v>0</x:v>
      </x:c>
      <x:c r="E7" s="38" t="str">
        <x:f>IF($D$4=0,"-",IFERROR(D7-C7,"-"))</x:f>
        <x:v>-</x:v>
      </x:c>
    </x:row>
    <x:row r="8" s="23" customFormat="1" ht="15" customHeight="1">
      <x:c r="A8" s="25" t="inlineStr">
        <x:is>
          <x:t xml:space="preserve">Errors per prompt</x:t>
        </x:is>
      </x:c>
      <x:c r="B8" s="39" t="str">
        <x:f>IFERROR((SUM(Results!$F$3:$F$102)+SUM(Results!$G$3:$G$102))/COUNT(Results!$F$3:$F$102),"-")</x:f>
        <x:v>-</x:v>
      </x:c>
      <x:c r="C8" s="39" t="n">
        <x:f>IFERROR((SUM(Results!$I$3:$I$102)+SUM(Results!$J$3:$J$102))/COUNT(Results!$I$3:$I$102),"-")</x:f>
        <x:v>1</x:v>
      </x:c>
      <x:c r="D8" s="39" t="str">
        <x:f>IFERROR((SUM(Results!$L$3:$L$102)+SUM(Results!$M$3:$M$102))/COUNT(Results!$L$3:$L$102),"-")</x:f>
        <x:v>-</x:v>
      </x:c>
      <x:c r="E8" s="39" t="str">
        <x:f>IF($D$4=0,"-",IFERROR(D8-C8,"-"))</x:f>
        <x:v>-</x:v>
      </x:c>
    </x:row>
    <x:row r="9" s="23" customFormat="1" ht="15" customHeight="1">
      <x:c r="A9" s="25" t="inlineStr">
        <x:is>
          <x:t xml:space="preserve">Clean runs (0 compile, 0 runtime) %</x:t>
        </x:is>
      </x:c>
      <x:c r="B9" s="40" t="str">
        <x:f>IFERROR(COUNTIFS(Results!F3:F102,0,Results!G3:G102,0,Results!G3:G102,"&lt;&gt;")/COUNT(Results!G3:G102),"-")</x:f>
        <x:v>-</x:v>
      </x:c>
      <x:c r="C9" s="40" t="n">
        <x:f>IFERROR(COUNTIFS(Results!I3:I102,0,Results!J3:J102,0,Results!J3:J102,"&lt;&gt;")/COUNT(Results!J3:J102),"-")</x:f>
        <x:v>0</x:v>
      </x:c>
      <x:c r="D9" s="40" t="str">
        <x:f>IFERROR(COUNTIFS(Results!L3:L102,0,Results!M3:M102,0,Results!M3:M102,"&lt;&gt;")/COUNT(Results!M3:M102),"-")</x:f>
        <x:v>-</x:v>
      </x:c>
      <x:c r="E9" s="40" t="str">
        <x:f>IF($D$4=0,"-",IFERROR(D9-C9,"-"))</x:f>
        <x:v>-</x:v>
      </x:c>
    </x:row>
    <x:row r="10" s="23" customFormat="1" ht="15" customHeight="1">
      <x:c r="A10" s="25" t="inlineStr">
        <x:is>
          <x:t xml:space="preserve">Average fidelity (1-5)</x:t>
        </x:is>
      </x:c>
      <x:c r="B10" s="39" t="str">
        <x:f>IFERROR(AVERAGE(Results!$H$3:$H$102),"-")</x:f>
        <x:v>-</x:v>
      </x:c>
      <x:c r="C10" s="39" t="str">
        <x:f>IFERROR(AVERAGE(Results!$K$3:$K$102),"-")</x:f>
        <x:v>-</x:v>
      </x:c>
      <x:c r="D10" s="39" t="str">
        <x:f>IFERROR(AVERAGE(Results!$N$3:$N$102),"-")</x:f>
        <x:v>-</x:v>
      </x:c>
      <x:c r="E10" s="39" t="str">
        <x:f>IF($D$4=0,"-",IFERROR(D10-C10,"-"))</x:f>
        <x:v>-</x:v>
      </x:c>
    </x:row>
    <x:row r="12" s="23" customFormat="1" ht="36" customHeight="1">
      <x:c r="A12" s="67" t="str">
        <x:v>Judge check (judge vs human, Qwen base)</x:v>
      </x:c>
    </x:row>
    <x:row r="13" s="23" customFormat="1" ht="36" customHeight="1">
      <x:c r="A13" s="68" t="inlineStr">
        <x:is>
          <x:t xml:space="preserve">Rows human-scored</x:t>
        </x:is>
      </x:c>
      <x:c r="B13" s="25" t="n">
        <x:f>SUMPRODUCT((Results!O3:O102="Y")*ISNUMBER(Results!P3:P102)*ISNUMBER(Results!K3:K102))</x:f>
        <x:v>0</x:v>
      </x:c>
    </x:row>
    <x:row r="14" s="23" customFormat="1" ht="36" customHeight="1">
      <x:c r="A14" s="68" t="str">
        <x:v>Mean absolute judge-human fidelity gap</x:v>
      </x:c>
      <x:c r="B14" s="41" t="str">
        <x:f>IFERROR(SUMPRODUCT((Results!O3:O102="Y")*ISNUMBER(Results!P3:P102)*ISNUMBER(Results!K3:K102)*ABS(Results!K3:K102-Results!P3:P102))/B13,"-")</x:f>
        <x:v>-</x:v>
      </x:c>
    </x:row>
    <x:row r="15" s="23" customFormat="1" ht="36" customHeight="1">
      <x:c r="A15" s="68" t="str">
        <x:v>Share where judge and human agree exactly</x:v>
      </x:c>
      <x:c r="B15" s="42" t="str">
        <x:f>IFERROR(SUMPRODUCT((Results!O3:O102="Y")*ISNUMBER(Results!P3:P102)*ISNUMBER(Results!K3:K102)*(Results!K3:K102=Results!P3:P102))/B13,"-")</x:f>
        <x:v>-</x:v>
      </x:c>
    </x:row>
    <x:row r="16" s="23" customFormat="1" ht="36" customHeight="1">
      <x:c r="A16" s="69" t="str">
        <x:v>Human agreement is unavailable until both judge and human scores exist for the same original candidate.</x:v>
      </x:c>
    </x:row>
    <x:row r="18" s="23" customFormat="1" ht="15" customHeight="1">
      <x:c r="A18" s="26" t="inlineStr">
        <x:is>
          <x:t xml:space="preserve">Errors by template (Qwen base vs tuned)</x:t>
        </x:is>
      </x:c>
    </x:row>
    <x:row r="19" s="23" customFormat="1" ht="15" customHeight="1">
      <x:c r="A19" s="28" t="inlineStr">
        <x:is>
          <x:t xml:space="preserve">Template</x:t>
        </x:is>
      </x:c>
      <x:c r="B19" s="28" t="inlineStr">
        <x:is>
          <x:t xml:space="preserve">Qwen base errors</x:t>
        </x:is>
      </x:c>
      <x:c r="C19" s="28" t="inlineStr">
        <x:is>
          <x:t xml:space="preserve">Qwen tuned errors</x:t>
        </x:is>
      </x:c>
      <x:c r="D19" s="28" t="inlineStr">
        <x:is>
          <x:t xml:space="preserve">Qwen base avg fidelity</x:t>
        </x:is>
      </x:c>
      <x:c r="E19" s="28" t="inlineStr">
        <x:is>
          <x:t xml:space="preserve">Qwen tuned avg fidelity</x:t>
        </x:is>
      </x:c>
    </x:row>
    <x:row r="20" s="23" customFormat="1" ht="15" customHeight="1">
      <x:c r="A20" s="25" t="str">
        <x:f>Results!A3</x:f>
        <x:v>equity-rsi-overbought-oversold/main.py</x:v>
      </x:c>
      <x:c r="B20" s="38" t="n">
        <x:f>SUM(Results!I3:I12)+SUM(Results!J3:J12)</x:f>
        <x:v>1</x:v>
      </x:c>
      <x:c r="C20" s="38" t="n">
        <x:f>SUM(Results!L3:L12)+SUM(Results!M3:M12)</x:f>
        <x:v>0</x:v>
      </x:c>
      <x:c r="D20" s="39" t="str">
        <x:f>IFERROR(AVERAGE(Results!K3:K12),"-")</x:f>
        <x:v>-</x:v>
      </x:c>
      <x:c r="E20" s="39" t="str">
        <x:f>IFERROR(AVERAGE(Results!N3:N12),"-")</x:f>
        <x:v>-</x:v>
      </x:c>
    </x:row>
    <x:row r="21" s="23" customFormat="1" ht="15" customHeight="1">
      <x:c r="A21" s="25" t="str">
        <x:f>Results!A13</x:f>
        <x:v>equity-bollinger-mean-reversion/main.py</x:v>
      </x:c>
      <x:c r="B21" s="38" t="n">
        <x:f>SUM(Results!I13:I22)+SUM(Results!J13:J22)</x:f>
        <x:v>3</x:v>
      </x:c>
      <x:c r="C21" s="38" t="n">
        <x:f>SUM(Results!L13:L22)+SUM(Results!M13:M22)</x:f>
        <x:v>0</x:v>
      </x:c>
      <x:c r="D21" s="39" t="str">
        <x:f>IFERROR(AVERAGE(Results!K13:K22),"-")</x:f>
        <x:v>-</x:v>
      </x:c>
      <x:c r="E21" s="39" t="str">
        <x:f>IFERROR(AVERAGE(Results!N13:N22),"-")</x:f>
        <x:v>-</x:v>
      </x:c>
    </x:row>
    <x:row r="22" s="23" customFormat="1" ht="15" customHeight="1">
      <x:c r="A22" s="25" t="str">
        <x:f>Results!A23</x:f>
        <x:v>equity-atr-volatility-stop/main.py</x:v>
      </x:c>
      <x:c r="B22" s="38" t="n">
        <x:f>SUM(Results!I23:I32)+SUM(Results!J23:J32)</x:f>
        <x:v>1</x:v>
      </x:c>
      <x:c r="C22" s="38" t="n">
        <x:f>SUM(Results!L23:L32)+SUM(Results!M23:M32)</x:f>
        <x:v>0</x:v>
      </x:c>
      <x:c r="D22" s="39" t="str">
        <x:f>IFERROR(AVERAGE(Results!K23:K32),"-")</x:f>
        <x:v>-</x:v>
      </x:c>
      <x:c r="E22" s="39" t="str">
        <x:f>IFERROR(AVERAGE(Results!N23:N32),"-")</x:f>
        <x:v>-</x:v>
      </x:c>
    </x:row>
    <x:row r="23" s="23" customFormat="1" ht="15" customHeight="1">
      <x:c r="A23" s="25" t="str">
        <x:f>Results!A33</x:f>
        <x:v>equity-monthly-roc-rotation/main.py</x:v>
      </x:c>
      <x:c r="B23" s="38" t="n">
        <x:f>SUM(Results!I33:I42)+SUM(Results!J33:J42)</x:f>
        <x:v>2</x:v>
      </x:c>
      <x:c r="C23" s="38" t="n">
        <x:f>SUM(Results!L33:L42)+SUM(Results!M33:M42)</x:f>
        <x:v>0</x:v>
      </x:c>
      <x:c r="D23" s="39" t="str">
        <x:f>IFERROR(AVERAGE(Results!K33:K42),"-")</x:f>
        <x:v>-</x:v>
      </x:c>
      <x:c r="E23" s="39" t="str">
        <x:f>IFERROR(AVERAGE(Results!N33:N42),"-")</x:f>
        <x:v>-</x:v>
      </x:c>
    </x:row>
    <x:row r="24" s="23" customFormat="1" ht="15" customHeight="1">
      <x:c r="A24" s="25" t="str">
        <x:f>Results!A43</x:f>
        <x:v>equity-sixty-forty-portfolio/main.py</x:v>
      </x:c>
      <x:c r="B24" s="38" t="n">
        <x:f>SUM(Results!I43:I52)+SUM(Results!J43:J52)</x:f>
        <x:v>0</x:v>
      </x:c>
      <x:c r="C24" s="38" t="n">
        <x:f>SUM(Results!L43:L52)+SUM(Results!M43:M52)</x:f>
        <x:v>0</x:v>
      </x:c>
      <x:c r="D24" s="39" t="str">
        <x:f>IFERROR(AVERAGE(Results!K43:K52),"-")</x:f>
        <x:v>-</x:v>
      </x:c>
      <x:c r="E24" s="39" t="str">
        <x:f>IFERROR(AVERAGE(Results!N43:N52),"-")</x:f>
        <x:v>-</x:v>
      </x:c>
    </x:row>
    <x:row r="25" s="23" customFormat="1" ht="15" customHeight="1">
      <x:c r="A25" s="25" t="str">
        <x:f>Results!A53</x:f>
        <x:v>equity-momentum-cross-sectional-decile/main.py</x:v>
      </x:c>
      <x:c r="B25" s="38" t="n">
        <x:f>SUM(Results!I53:I62)+SUM(Results!J53:J62)</x:f>
        <x:v>0</x:v>
      </x:c>
      <x:c r="C25" s="38" t="n">
        <x:f>SUM(Results!L53:L62)+SUM(Results!M53:M62)</x:f>
        <x:v>0</x:v>
      </x:c>
      <x:c r="D25" s="39" t="str">
        <x:f>IFERROR(AVERAGE(Results!K53:K62),"-")</x:f>
        <x:v>-</x:v>
      </x:c>
      <x:c r="E25" s="39" t="str">
        <x:f>IFERROR(AVERAGE(Results!N53:N62),"-")</x:f>
        <x:v>-</x:v>
      </x:c>
    </x:row>
    <x:row r="26" s="23" customFormat="1" ht="15" customHeight="1">
      <x:c r="A26" s="25" t="str">
        <x:f>Results!A63</x:f>
        <x:v>equity-opening-range-breakout/main.py</x:v>
      </x:c>
      <x:c r="B26" s="38" t="n">
        <x:f>SUM(Results!I63:I72)+SUM(Results!J63:J72)</x:f>
        <x:v>0</x:v>
      </x:c>
      <x:c r="C26" s="38" t="n">
        <x:f>SUM(Results!L63:L72)+SUM(Results!M63:M72)</x:f>
        <x:v>0</x:v>
      </x:c>
      <x:c r="D26" s="39" t="str">
        <x:f>IFERROR(AVERAGE(Results!K63:K72),"-")</x:f>
        <x:v>-</x:v>
      </x:c>
      <x:c r="E26" s="39" t="str">
        <x:f>IFERROR(AVERAGE(Results!N63:N72),"-")</x:f>
        <x:v>-</x:v>
      </x:c>
    </x:row>
    <x:row r="27" s="23" customFormat="1" ht="15" customHeight="1">
      <x:c r="A27" s="25" t="str">
        <x:f>Results!A73</x:f>
        <x:v>equity-pairs-trading-cointegration/main.py</x:v>
      </x:c>
      <x:c r="B27" s="38" t="n">
        <x:f>SUM(Results!I73:I82)+SUM(Results!J73:J82)</x:f>
        <x:v>0</x:v>
      </x:c>
      <x:c r="C27" s="38" t="n">
        <x:f>SUM(Results!L73:L82)+SUM(Results!M73:M82)</x:f>
        <x:v>0</x:v>
      </x:c>
      <x:c r="D27" s="39" t="str">
        <x:f>IFERROR(AVERAGE(Results!K73:K82),"-")</x:f>
        <x:v>-</x:v>
      </x:c>
      <x:c r="E27" s="39" t="str">
        <x:f>IFERROR(AVERAGE(Results!N73:N82),"-")</x:f>
        <x:v>-</x:v>
      </x:c>
    </x:row>
    <x:row r="28" s="23" customFormat="1" ht="15" customHeight="1">
      <x:c r="A28" s="25" t="str">
        <x:f>Results!A83</x:f>
        <x:v>option-iron-condor-spy/main.py</x:v>
      </x:c>
      <x:c r="B28" s="38" t="n">
        <x:f>SUM(Results!I83:I92)+SUM(Results!J83:J92)</x:f>
        <x:v>2</x:v>
      </x:c>
      <x:c r="C28" s="38" t="n">
        <x:f>SUM(Results!L83:L92)+SUM(Results!M83:M92)</x:f>
        <x:v>0</x:v>
      </x:c>
      <x:c r="D28" s="39" t="str">
        <x:f>IFERROR(AVERAGE(Results!K83:K92),"-")</x:f>
        <x:v>-</x:v>
      </x:c>
      <x:c r="E28" s="39" t="str">
        <x:f>IFERROR(AVERAGE(Results!N83:N92),"-")</x:f>
        <x:v>-</x:v>
      </x:c>
    </x:row>
    <x:row r="29" s="23" customFormat="1" ht="15" customHeight="1">
      <x:c r="A29" s="25" t="str">
        <x:f>Results!A93</x:f>
        <x:v>futures/main.py</x:v>
      </x:c>
      <x:c r="B29" s="38" t="n">
        <x:f>SUM(Results!I93:I102)+SUM(Results!J93:J102)</x:f>
        <x:v>1</x:v>
      </x:c>
      <x:c r="C29" s="38" t="n">
        <x:f>SUM(Results!L93:L102)+SUM(Results!M93:M102)</x:f>
        <x:v>0</x:v>
      </x:c>
      <x:c r="D29" s="39" t="str">
        <x:f>IFERROR(AVERAGE(Results!K93:K102),"-")</x:f>
        <x:v>-</x:v>
      </x:c>
      <x:c r="E29" s="39" t="str">
        <x:f>IFERROR(AVERAGE(Results!N93:N102),"-")</x:f>
        <x:v>-</x:v>
      </x:c>
    </x:row>
    <x:row r="31" s="23" customFormat="1" ht="15" customHeight="1">
      <x:c r="A31" s="26" t="inlineStr">
        <x:is>
          <x:t xml:space="preserve">Errors by customer segment (Qwen base vs tuned)</x:t>
        </x:is>
      </x:c>
    </x:row>
    <x:row r="32" s="23" customFormat="1" ht="15" customHeight="1">
      <x:c r="A32" s="28" t="inlineStr">
        <x:is>
          <x:t xml:space="preserve">Group</x:t>
        </x:is>
      </x:c>
      <x:c r="B32" s="28" t="inlineStr">
        <x:is>
          <x:t xml:space="preserve">Qwen base errors</x:t>
        </x:is>
      </x:c>
      <x:c r="C32" s="28" t="inlineStr">
        <x:is>
          <x:t xml:space="preserve">Qwen tuned errors</x:t>
        </x:is>
      </x:c>
      <x:c r="D32" s="28" t="inlineStr">
        <x:is>
          <x:t xml:space="preserve">Qwen base avg fidelity</x:t>
        </x:is>
      </x:c>
      <x:c r="E32" s="28" t="inlineStr">
        <x:is>
          <x:t xml:space="preserve">Qwen tuned avg fidelity</x:t>
        </x:is>
      </x:c>
    </x:row>
    <x:row r="33" s="23" customFormat="1" ht="15" customHeight="1">
      <x:c r="A33" s="25" t="inlineStr">
        <x:is>
          <x:t xml:space="preserve">individual</x:t>
        </x:is>
      </x:c>
      <x:c r="B33" s="38" t="n">
        <x:f>SUMIFS(Results!$I$3:$I$102,Results!$C$3:$C$102,"individual")+SUMIFS(Results!$J$3:$J$102,Results!$C$3:$C$102,"individual")</x:f>
        <x:v>2</x:v>
      </x:c>
      <x:c r="C33" s="38" t="n">
        <x:f>SUMIFS(Results!$L$3:$L$102,Results!$C$3:$C$102,"individual")+SUMIFS(Results!$M$3:$M$102,Results!$C$3:$C$102,"individual")</x:f>
        <x:v>0</x:v>
      </x:c>
      <x:c r="D33" s="39" t="str">
        <x:f>IFERROR(AVERAGEIFS(Results!$K$3:$K$102,Results!$C$3:$C$102,"individual"),"-")</x:f>
        <x:v>-</x:v>
      </x:c>
      <x:c r="E33" s="39" t="str">
        <x:f>IFERROR(AVERAGEIFS(Results!$N$3:$N$102,Results!$C$3:$C$102,"individual"),"-")</x:f>
        <x:v>-</x:v>
      </x:c>
    </x:row>
    <x:row r="34" s="23" customFormat="1" ht="15" customHeight="1">
      <x:c r="A34" s="25" t="inlineStr">
        <x:is>
          <x:t xml:space="preserve">startup</x:t>
        </x:is>
      </x:c>
      <x:c r="B34" s="38" t="n">
        <x:f>SUMIFS(Results!$I$3:$I$102,Results!$C$3:$C$102,"startup")+SUMIFS(Results!$J$3:$J$102,Results!$C$3:$C$102,"startup")</x:f>
        <x:v>5</x:v>
      </x:c>
      <x:c r="C34" s="38" t="n">
        <x:f>SUMIFS(Results!$L$3:$L$102,Results!$C$3:$C$102,"startup")+SUMIFS(Results!$M$3:$M$102,Results!$C$3:$C$102,"startup")</x:f>
        <x:v>0</x:v>
      </x:c>
      <x:c r="D34" s="39" t="str">
        <x:f>IFERROR(AVERAGEIFS(Results!$K$3:$K$102,Results!$C$3:$C$102,"startup"),"-")</x:f>
        <x:v>-</x:v>
      </x:c>
      <x:c r="E34" s="39" t="str">
        <x:f>IFERROR(AVERAGEIFS(Results!$N$3:$N$102,Results!$C$3:$C$102,"startup"),"-")</x:f>
        <x:v>-</x:v>
      </x:c>
    </x:row>
    <x:row r="35" s="23" customFormat="1" ht="15" customHeight="1">
      <x:c r="A35" s="25" t="inlineStr">
        <x:is>
          <x:t xml:space="preserve">institutional</x:t>
        </x:is>
      </x:c>
      <x:c r="B35" s="38" t="n">
        <x:f>SUMIFS(Results!$I$3:$I$102,Results!$C$3:$C$102,"institutional")+SUMIFS(Results!$J$3:$J$102,Results!$C$3:$C$102,"institutional")</x:f>
        <x:v>3</x:v>
      </x:c>
      <x:c r="C35" s="38" t="n">
        <x:f>SUMIFS(Results!$L$3:$L$102,Results!$C$3:$C$102,"institutional")+SUMIFS(Results!$M$3:$M$102,Results!$C$3:$C$102,"institutional")</x:f>
        <x:v>0</x:v>
      </x:c>
      <x:c r="D35" s="39" t="str">
        <x:f>IFERROR(AVERAGEIFS(Results!$K$3:$K$102,Results!$C$3:$C$102,"institutional"),"-")</x:f>
        <x:v>-</x:v>
      </x:c>
      <x:c r="E35" s="39" t="str">
        <x:f>IFERROR(AVERAGEIFS(Results!$N$3:$N$102,Results!$C$3:$C$102,"institutional"),"-")</x:f>
        <x:v>-</x:v>
      </x:c>
    </x:row>
    <x:row r="36" s="23" customFormat="1" ht="15" customHeight="1">
      <x:c r="A36" s="25" t="inlineStr">
        <x:is>
          <x:t xml:space="preserve">reference</x:t>
        </x:is>
      </x:c>
      <x:c r="B36" s="38" t="n">
        <x:f>SUMIFS(Results!$I$3:$I$102,Results!$C$3:$C$102,"reference")+SUMIFS(Results!$J$3:$J$102,Results!$C$3:$C$102,"reference")</x:f>
        <x:v>0</x:v>
      </x:c>
      <x:c r="C36" s="38" t="n">
        <x:f>SUMIFS(Results!$L$3:$L$102,Results!$C$3:$C$102,"reference")+SUMIFS(Results!$M$3:$M$102,Results!$C$3:$C$102,"reference")</x:f>
        <x:v>0</x:v>
      </x:c>
      <x:c r="D36" s="39" t="str">
        <x:f>IFERROR(AVERAGEIFS(Results!$K$3:$K$102,Results!$C$3:$C$102,"reference"),"-")</x:f>
        <x:v>-</x:v>
      </x:c>
      <x:c r="E36" s="39" t="str">
        <x:f>IFERROR(AVERAGEIFS(Results!$N$3:$N$102,Results!$C$3:$C$102,"reference"),"-")</x:f>
        <x:v>-</x:v>
      </x:c>
    </x:row>
    <x:row r="38" s="23" customFormat="1" ht="15" customHeight="1">
      <x:c r="A38" s="26" t="inlineStr">
        <x:is>
          <x:t xml:space="preserve">Errors by prompt specificity (Qwen base vs tuned)</x:t>
        </x:is>
      </x:c>
    </x:row>
    <x:row r="39" s="23" customFormat="1" ht="15" customHeight="1">
      <x:c r="A39" s="28" t="inlineStr">
        <x:is>
          <x:t xml:space="preserve">Group</x:t>
        </x:is>
      </x:c>
      <x:c r="B39" s="28" t="inlineStr">
        <x:is>
          <x:t xml:space="preserve">Qwen base errors</x:t>
        </x:is>
      </x:c>
      <x:c r="C39" s="28" t="inlineStr">
        <x:is>
          <x:t xml:space="preserve">Qwen tuned errors</x:t>
        </x:is>
      </x:c>
      <x:c r="D39" s="28" t="inlineStr">
        <x:is>
          <x:t xml:space="preserve">Qwen base avg fidelity</x:t>
        </x:is>
      </x:c>
      <x:c r="E39" s="28" t="inlineStr">
        <x:is>
          <x:t xml:space="preserve">Qwen tuned avg fidelity</x:t>
        </x:is>
      </x:c>
    </x:row>
    <x:row r="40" s="23" customFormat="1" ht="15" customHeight="1">
      <x:c r="A40" s="25" t="inlineStr">
        <x:is>
          <x:t xml:space="preserve">vague</x:t>
        </x:is>
      </x:c>
      <x:c r="B40" s="38" t="n">
        <x:f>SUMIFS(Results!$I$3:$I$102,Results!$D$3:$D$102,"vague")+SUMIFS(Results!$J$3:$J$102,Results!$D$3:$D$102,"vague")</x:f>
        <x:v>3</x:v>
      </x:c>
      <x:c r="C40" s="38" t="n">
        <x:f>SUMIFS(Results!$L$3:$L$102,Results!$D$3:$D$102,"vague")+SUMIFS(Results!$M$3:$M$102,Results!$D$3:$D$102,"vague")</x:f>
        <x:v>0</x:v>
      </x:c>
      <x:c r="D40" s="39" t="str">
        <x:f>IFERROR(AVERAGEIFS(Results!$K$3:$K$102,Results!$D$3:$D$102,"vague"),"-")</x:f>
        <x:v>-</x:v>
      </x:c>
      <x:c r="E40" s="39" t="str">
        <x:f>IFERROR(AVERAGEIFS(Results!$N$3:$N$102,Results!$D$3:$D$102,"vague"),"-")</x:f>
        <x:v>-</x:v>
      </x:c>
    </x:row>
    <x:row r="41" s="23" customFormat="1" ht="15" customHeight="1">
      <x:c r="A41" s="25" t="inlineStr">
        <x:is>
          <x:t xml:space="preserve">precise</x:t>
        </x:is>
      </x:c>
      <x:c r="B41" s="38" t="n">
        <x:f>SUMIFS(Results!$I$3:$I$102,Results!$D$3:$D$102,"precise")+SUMIFS(Results!$J$3:$J$102,Results!$D$3:$D$102,"precise")</x:f>
        <x:v>5</x:v>
      </x:c>
      <x:c r="C41" s="38" t="n">
        <x:f>SUMIFS(Results!$L$3:$L$102,Results!$D$3:$D$102,"precise")+SUMIFS(Results!$M$3:$M$102,Results!$D$3:$D$102,"precise")</x:f>
        <x:v>0</x:v>
      </x:c>
      <x:c r="D41" s="39" t="str">
        <x:f>IFERROR(AVERAGEIFS(Results!$K$3:$K$102,Results!$D$3:$D$102,"precise"),"-")</x:f>
        <x:v>-</x:v>
      </x:c>
      <x:c r="E41" s="39" t="str">
        <x:f>IFERROR(AVERAGEIFS(Results!$N$3:$N$102,Results!$D$3:$D$102,"precise"),"-")</x:f>
        <x:v>-</x:v>
      </x:c>
    </x:row>
    <x:row r="42" s="23" customFormat="1" ht="15" customHeight="1">
      <x:c r="A42" s="25" t="inlineStr">
        <x:is>
          <x:t xml:space="preserve">over_specified</x:t>
        </x:is>
      </x:c>
      <x:c r="B42" s="38" t="n">
        <x:f>SUMIFS(Results!$I$3:$I$102,Results!$D$3:$D$102,"over_specified")+SUMIFS(Results!$J$3:$J$102,Results!$D$3:$D$102,"over_specified")</x:f>
        <x:v>2</x:v>
      </x:c>
      <x:c r="C42" s="38" t="n">
        <x:f>SUMIFS(Results!$L$3:$L$102,Results!$D$3:$D$102,"over_specified")+SUMIFS(Results!$M$3:$M$102,Results!$D$3:$D$102,"over_specified")</x:f>
        <x:v>0</x:v>
      </x:c>
      <x:c r="D42" s="39" t="str">
        <x:f>IFERROR(AVERAGEIFS(Results!$K$3:$K$102,Results!$D$3:$D$102,"over_specified"),"-")</x:f>
        <x:v>-</x:v>
      </x:c>
      <x:c r="E42" s="39" t="str">
        <x:f>IFERROR(AVERAGEIFS(Results!$N$3:$N$102,Results!$D$3:$D$102,"over_specified"),"-")</x:f>
        <x:v>-</x:v>
      </x:c>
    </x:row>
    <x:row r="43" s="23" customFormat="1" ht="15" customHeight="1">
      <x:c r="A43" s="25" t="inlineStr">
        <x:is>
          <x:t xml:space="preserve">ceiling</x:t>
        </x:is>
      </x:c>
      <x:c r="B43" s="38" t="n">
        <x:f>SUMIFS(Results!$I$3:$I$102,Results!$D$3:$D$102,"ceiling")+SUMIFS(Results!$J$3:$J$102,Results!$D$3:$D$102,"ceiling")</x:f>
        <x:v>0</x:v>
      </x:c>
      <x:c r="C43" s="38" t="n">
        <x:f>SUMIFS(Results!$L$3:$L$102,Results!$D$3:$D$102,"ceiling")+SUMIFS(Results!$M$3:$M$102,Results!$D$3:$D$102,"ceiling")</x:f>
        <x:v>0</x:v>
      </x:c>
      <x:c r="D43" s="39" t="str">
        <x:f>IFERROR(AVERAGEIFS(Results!$K$3:$K$102,Results!$D$3:$D$102,"ceiling"),"-")</x:f>
        <x:v>-</x:v>
      </x:c>
      <x:c r="E43" s="39" t="str">
        <x:f>IFERROR(AVERAGEIFS(Results!$N$3:$N$102,Results!$D$3:$D$102,"ceiling"),"-")</x:f>
        <x:v>-</x:v>
      </x:c>
    </x:row>
    <x:row r="46" ht="38" customHeight="1">
      <x:c r="A46" s="85" t="str">
        <x:v>QC-feedback metric</x:v>
      </x:c>
      <x:c r="B46" s="85" t="str">
        <x:v>Value</x:v>
      </x:c>
      <x:c r="C46" s="85" t="str">
        <x:v>Scope</x:v>
      </x:c>
    </x:row>
    <x:row r="47" ht="34" customHeight="1">
      <x:c r="A47" s="56" t="str">
        <x:v>Candidates evaluated</x:v>
      </x:c>
      <x:c r="B47" s="56" t="n">
        <x:f>COUNTA('QC Feedback'!A4:A6)</x:f>
        <x:v>3</x:v>
      </x:c>
      <x:c r="C47" s="49" t="str">
        <x:v>Separate from original Qwen base</x:v>
      </x:c>
    </x:row>
    <x:row r="48" ht="34" customHeight="1">
      <x:c r="A48" s="56" t="str">
        <x:v>Completed backtests</x:v>
      </x:c>
      <x:c r="B48" s="56" t="n">
        <x:f>COUNTIFS('QC Feedback'!G4:G6,"completed")</x:f>
        <x:v>2</x:v>
      </x:c>
      <x:c r="C48" s="49" t="str">
        <x:v>Successful execution only</x:v>
      </x:c>
    </x:row>
    <x:row r="49" ht="34" customHeight="1">
      <x:c r="A49" s="56" t="str">
        <x:v>Candidates judged</x:v>
      </x:c>
      <x:c r="B49" s="56" t="n">
        <x:f>COUNT('QC Feedback'!F4:F6)</x:f>
        <x:v>3</x:v>
      </x:c>
      <x:c r="C49" s="49" t="str">
        <x:v>claude-opus-5-5</x:v>
      </x:c>
    </x:row>
    <x:row r="50" ht="34" customHeight="1">
      <x:c r="A50" s="56" t="str">
        <x:v>Average fidelity (1-5)</x:v>
      </x:c>
      <x:c r="B50" s="66" t="n">
        <x:f>IFERROR(AVERAGE('QC Feedback'!F4:F6),"-")</x:f>
        <x:v>4</x:v>
      </x:c>
      <x:c r="C50" s="49" t="str">
        <x:v>Unchanged raw judge scores</x:v>
      </x:c>
    </x:row>
    <x:row r="51" ht="34" customHeight="1">
      <x:c r="A51" s="56" t="str">
        <x:v>Review required</x:v>
      </x:c>
      <x:c r="B51" s="56" t="n">
        <x:f>COUNTIFS('QC Feedback'!H4:H6,"Y")</x:f>
        <x:v>3</x:v>
      </x:c>
      <x:c r="C51" s="49" t="str">
        <x:v>Judge flags plus analyst review</x:v>
      </x:c>
    </x:row>
  </x:sheetData>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52" hidden="0" customWidth="1"/>
    <x:col min="2" max="2" width="26" hidden="0" customWidth="1"/>
    <x:col min="3" max="3" width="62" hidden="0" customWidth="1"/>
    <x:col min="4" max="4" width="36" hidden="0" customWidth="1"/>
    <x:col min="5" max="5" width="24" hidden="0" customWidth="1"/>
    <x:col min="6" max="6" width="42" hidden="0" customWidth="1"/>
    <x:col min="7" max="7" width="20" hidden="0" customWidth="1"/>
    <x:col min="8" max="8" width="20" hidden="0" customWidth="1"/>
    <x:col min="9" max="9" width="18" hidden="0" customWidth="1"/>
    <x:col min="10" max="10" width="20" hidden="0" customWidth="1"/>
    <x:col min="11" max="11" width="64" hidden="0" customWidth="1"/>
  </x:cols>
  <x:sheetData>
    <x:row r="1">
      <x:c r="A1" s="50" t="str">
        <x:v>Qwen with QC feedback: separate experiment</x:v>
      </x:c>
      <x:c r="B1" s="56"/>
      <x:c r="C1" s="56"/>
      <x:c r="D1" s="56"/>
      <x:c r="E1" s="56"/>
      <x:c r="F1" s="56"/>
      <x:c r="G1" s="56"/>
      <x:c r="H1" s="56"/>
      <x:c r="I1" s="56"/>
      <x:c r="J1" s="56"/>
      <x:c r="K1" s="56"/>
    </x:row>
    <x:row r="2">
      <x:c r="A2" s="56"/>
      <x:c r="B2" s="56"/>
      <x:c r="C2" s="56"/>
      <x:c r="D2" s="56"/>
      <x:c r="E2" s="56"/>
      <x:c r="F2" s="56"/>
      <x:c r="G2" s="56"/>
      <x:c r="H2" s="56"/>
      <x:c r="I2" s="56"/>
      <x:c r="J2" s="56"/>
      <x:c r="K2" s="56"/>
    </x:row>
    <x:row r="3" ht="38" customHeight="1">
      <x:c r="A3" s="85" t="str">
        <x:v>Prompt ID</x:v>
      </x:c>
      <x:c r="B3" s="85" t="str">
        <x:v>Generation model</x:v>
      </x:c>
      <x:c r="C3" s="85" t="str">
        <x:v>Repair rounds</x:v>
      </x:c>
      <x:c r="D3" s="85" t="str">
        <x:v>Compile errors</x:v>
      </x:c>
      <x:c r="E3" s="85" t="str">
        <x:v>Runtime errors</x:v>
      </x:c>
      <x:c r="F3" s="85" t="str">
        <x:v>Fidelity (1-5)</x:v>
      </x:c>
      <x:c r="G3" s="85" t="str">
        <x:v>QC status</x:v>
      </x:c>
      <x:c r="H3" s="85" t="str">
        <x:v>Review required</x:v>
      </x:c>
      <x:c r="I3" s="56"/>
      <x:c r="J3" s="56"/>
      <x:c r="K3" s="56"/>
    </x:row>
    <x:row r="4" ht="38" customHeight="1">
      <x:c r="A4" s="49" t="str">
        <x:v>equity-rsi-overbought-oversold_v04</x:v>
      </x:c>
      <x:c r="B4" s="49" t="str">
        <x:v>qwen/qwen3.8-27b</x:v>
      </x:c>
      <x:c r="C4" s="75" t="n">
        <x:v>2</x:v>
      </x:c>
      <x:c r="D4" s="75" t="n">
        <x:v>0</x:v>
      </x:c>
      <x:c r="E4" s="75" t="n">
        <x:v>0</x:v>
      </x:c>
      <x:c r="F4" s="75" t="n">
        <x:v>5</x:v>
      </x:c>
      <x:c r="G4" s="75" t="str">
        <x:v>completed</x:v>
      </x:c>
      <x:c r="H4" s="75" t="str">
        <x:v>Y</x:v>
      </x:c>
      <x:c r="I4" s="56"/>
      <x:c r="J4" s="56"/>
      <x:c r="K4" s="56"/>
    </x:row>
    <x:row r="5" ht="38" customHeight="1">
      <x:c r="A5" s="49" t="str">
        <x:v>equity-monthly-roc-rotation_v06</x:v>
      </x:c>
      <x:c r="B5" s="49" t="str">
        <x:v>qwen/qwen3.8-27b</x:v>
      </x:c>
      <x:c r="C5" s="75" t="n">
        <x:v>3</x:v>
      </x:c>
      <x:c r="D5" s="75" t="n">
        <x:v>0</x:v>
      </x:c>
      <x:c r="E5" s="75" t="n">
        <x:v>0</x:v>
      </x:c>
      <x:c r="F5" s="75" t="n">
        <x:v>4</x:v>
      </x:c>
      <x:c r="G5" s="75" t="str">
        <x:v>completed</x:v>
      </x:c>
      <x:c r="H5" s="75" t="str">
        <x:v>Y</x:v>
      </x:c>
      <x:c r="I5" s="56"/>
      <x:c r="J5" s="56"/>
      <x:c r="K5" s="56"/>
    </x:row>
    <x:row r="6" ht="38" customHeight="1">
      <x:c r="A6" s="49" t="str">
        <x:v>futures_v05</x:v>
      </x:c>
      <x:c r="B6" s="49" t="str">
        <x:v>qwen/qwen3.8-27b</x:v>
      </x:c>
      <x:c r="C6" s="75" t="n">
        <x:v>3</x:v>
      </x:c>
      <x:c r="D6" s="75" t="n">
        <x:v>0</x:v>
      </x:c>
      <x:c r="E6" s="75" t="n">
        <x:v>1</x:v>
      </x:c>
      <x:c r="F6" s="75" t="n">
        <x:v>3</x:v>
      </x:c>
      <x:c r="G6" s="75" t="str">
        <x:v>runtime_error</x:v>
      </x:c>
      <x:c r="H6" s="75" t="str">
        <x:v>Y</x:v>
      </x:c>
      <x:c r="I6" s="56"/>
      <x:c r="J6" s="56"/>
      <x:c r="K6" s="56"/>
    </x:row>
    <x:row r="7">
      <x:c r="A7" s="56"/>
      <x:c r="B7" s="56"/>
      <x:c r="C7" s="56"/>
      <x:c r="D7" s="56"/>
      <x:c r="E7" s="56"/>
      <x:c r="F7" s="56"/>
      <x:c r="G7" s="56"/>
      <x:c r="H7" s="56"/>
      <x:c r="I7" s="56"/>
      <x:c r="J7" s="56"/>
      <x:c r="K7" s="56"/>
    </x:row>
    <x:row r="8">
      <x:c r="A8" s="56"/>
      <x:c r="B8" s="56"/>
      <x:c r="C8" s="56"/>
      <x:c r="D8" s="56"/>
      <x:c r="E8" s="56"/>
      <x:c r="F8" s="56"/>
      <x:c r="G8" s="56"/>
      <x:c r="H8" s="56"/>
      <x:c r="I8" s="56"/>
      <x:c r="J8" s="56"/>
      <x:c r="K8" s="56"/>
    </x:row>
    <x:row r="9">
      <x:c r="A9" s="56"/>
      <x:c r="B9" s="56"/>
      <x:c r="C9" s="56"/>
      <x:c r="D9" s="56"/>
      <x:c r="E9" s="56"/>
      <x:c r="F9" s="56"/>
      <x:c r="G9" s="56"/>
      <x:c r="H9" s="56"/>
      <x:c r="I9" s="56"/>
      <x:c r="J9" s="56"/>
      <x:c r="K9" s="56"/>
    </x:row>
    <x:row r="10">
      <x:c r="A10" s="56" t="str">
        <x:v>Behavior diagnostics against Gold</x:v>
      </x:c>
      <x:c r="B10" s="56"/>
      <x:c r="C10" s="56"/>
      <x:c r="D10" s="56"/>
      <x:c r="E10" s="56"/>
      <x:c r="F10" s="56"/>
      <x:c r="G10" s="56"/>
      <x:c r="H10" s="56"/>
      <x:c r="I10" s="56"/>
      <x:c r="J10" s="56"/>
      <x:c r="K10" s="56"/>
    </x:row>
    <x:row r="11">
      <x:c r="A11" s="56"/>
      <x:c r="B11" s="56"/>
      <x:c r="C11" s="56"/>
      <x:c r="D11" s="56"/>
      <x:c r="E11" s="56"/>
      <x:c r="F11" s="56"/>
      <x:c r="G11" s="56"/>
      <x:c r="H11" s="56"/>
      <x:c r="I11" s="56"/>
      <x:c r="J11" s="56"/>
      <x:c r="K11" s="56"/>
    </x:row>
    <x:row r="12" ht="38" customHeight="1">
      <x:c r="A12" s="85" t="str">
        <x:v>Prompt ID</x:v>
      </x:c>
      <x:c r="B12" s="85" t="str">
        <x:v>Candidate filled orders</x:v>
      </x:c>
      <x:c r="C12" s="85" t="str">
        <x:v>Gold filled orders</x:v>
      </x:c>
      <x:c r="D12" s="85" t="str">
        <x:v>Candidate closed trades</x:v>
      </x:c>
      <x:c r="E12" s="85" t="str">
        <x:v>Gold closed trades</x:v>
      </x:c>
      <x:c r="F12" s="85" t="str">
        <x:v>Fill F1</x:v>
      </x:c>
      <x:c r="G12" s="85" t="str">
        <x:v>Interval MAE (seconds)</x:v>
      </x:c>
      <x:c r="H12" s="85" t="str">
        <x:v>Equity DTW</x:v>
      </x:c>
      <x:c r="I12" s="85" t="str">
        <x:v>Position agreement</x:v>
      </x:c>
      <x:c r="J12" s="85" t="str">
        <x:v>Behavior status</x:v>
      </x:c>
      <x:c r="K12" s="85" t="str">
        <x:v>Comparison limits</x:v>
      </x:c>
    </x:row>
    <x:row r="13" ht="70" customHeight="1">
      <x:c r="A13" s="49" t="str">
        <x:v>equity-rsi-overbought-oversold_v04</x:v>
      </x:c>
      <x:c r="B13" s="49" t="n">
        <x:v>16</x:v>
      </x:c>
      <x:c r="C13" s="49" t="n">
        <x:v>22</x:v>
      </x:c>
      <x:c r="D13" s="49" t="n">
        <x:v>8</x:v>
      </x:c>
      <x:c r="E13" s="49" t="n">
        <x:v>11</x:v>
      </x:c>
      <x:c r="F13" s="58"/>
      <x:c r="G13" s="59"/>
      <x:c r="H13" s="60"/>
      <x:c r="I13" s="61"/>
      <x:c r="J13" s="49" t="str">
        <x:v>partial</x:v>
      </x:c>
      <x:c r="K13" s="49" t="str">
        <x:v>Need matching date ranges and &gt;=95% common daily observations. Counts cover different date windows; similarity metrics are withheld.</x:v>
      </x:c>
    </x:row>
    <x:row r="14" ht="70" customHeight="1">
      <x:c r="A14" s="49" t="str">
        <x:v>equity-monthly-roc-rotation_v06</x:v>
      </x:c>
      <x:c r="B14" s="49" t="n">
        <x:v>87</x:v>
      </x:c>
      <x:c r="C14" s="49" t="n">
        <x:v>110</x:v>
      </x:c>
      <x:c r="D14" s="49" t="n">
        <x:v>55</x:v>
      </x:c>
      <x:c r="E14" s="49" t="n">
        <x:v>71</x:v>
      </x:c>
      <x:c r="F14" s="58" t="n">
        <x:v>0.700507614213198</x:v>
      </x:c>
      <x:c r="G14" s="59" t="n">
        <x:v>899760.4752475248</x:v>
      </x:c>
      <x:c r="H14" s="60" t="n">
        <x:v>0.016649746091891904</x:v>
      </x:c>
      <x:c r="I14" s="61" t="n">
        <x:v>0.8484880213739333</x:v>
      </x:c>
      <x:c r="J14" s="49" t="str">
        <x:v>available</x:v>
      </x:c>
      <x:c r="K14" s="49" t="str"/>
    </x:row>
    <x:row r="15" ht="70" customHeight="1">
      <x:c r="A15" s="49" t="str">
        <x:v>futures_v05</x:v>
      </x:c>
      <x:c r="B15" s="49"/>
      <x:c r="C15" s="49"/>
      <x:c r="D15" s="49"/>
      <x:c r="E15" s="49"/>
      <x:c r="F15" s="58"/>
      <x:c r="G15" s="59"/>
      <x:c r="H15" s="60"/>
      <x:c r="I15" s="61"/>
      <x:c r="J15" s="49" t="str">
        <x:v>unavailable</x:v>
      </x:c>
      <x:c r="K15" s="49" t="str">
        <x:v>candidate backtest did not complete successfully</x:v>
      </x:c>
    </x:row>
    <x:row r="16">
      <x:c r="A16" s="56"/>
      <x:c r="B16" s="56"/>
      <x:c r="C16" s="56"/>
      <x:c r="D16" s="56"/>
      <x:c r="E16" s="56"/>
      <x:c r="F16" s="56"/>
      <x:c r="G16" s="56"/>
      <x:c r="H16" s="56"/>
      <x:c r="I16" s="56"/>
      <x:c r="J16" s="56"/>
      <x:c r="K16" s="56"/>
    </x:row>
    <x:row r="17">
      <x:c r="A17" s="56"/>
      <x:c r="B17" s="56"/>
      <x:c r="C17" s="56"/>
      <x:c r="D17" s="56"/>
      <x:c r="E17" s="56"/>
      <x:c r="F17" s="56"/>
      <x:c r="G17" s="56"/>
      <x:c r="H17" s="56"/>
      <x:c r="I17" s="56"/>
      <x:c r="J17" s="56"/>
      <x:c r="K17" s="56"/>
    </x:row>
    <x:row r="18">
      <x:c r="A18" s="56"/>
      <x:c r="B18" s="56"/>
      <x:c r="C18" s="56"/>
      <x:c r="D18" s="56"/>
      <x:c r="E18" s="56"/>
      <x:c r="F18" s="56"/>
      <x:c r="G18" s="56"/>
      <x:c r="H18" s="56"/>
      <x:c r="I18" s="56"/>
      <x:c r="J18" s="56"/>
      <x:c r="K18" s="56"/>
    </x:row>
    <x:row r="19">
      <x:c r="A19" s="56" t="str">
        <x:v>Judge reasons and execution provenance</x:v>
      </x:c>
      <x:c r="B19" s="56"/>
      <x:c r="C19" s="56"/>
      <x:c r="D19" s="56"/>
      <x:c r="E19" s="56"/>
      <x:c r="F19" s="56"/>
      <x:c r="G19" s="56"/>
      <x:c r="H19" s="56"/>
      <x:c r="I19" s="56"/>
      <x:c r="J19" s="56"/>
      <x:c r="K19" s="56"/>
    </x:row>
    <x:row r="20">
      <x:c r="A20" s="56"/>
      <x:c r="B20" s="56"/>
      <x:c r="C20" s="56"/>
      <x:c r="D20" s="56"/>
      <x:c r="E20" s="56"/>
      <x:c r="F20" s="56"/>
      <x:c r="G20" s="56"/>
      <x:c r="H20" s="56"/>
      <x:c r="I20" s="56"/>
      <x:c r="J20" s="56"/>
      <x:c r="K20" s="56"/>
    </x:row>
    <x:row r="21" ht="38" customHeight="1">
      <x:c r="A21" s="85" t="str">
        <x:v>Prompt ID</x:v>
      </x:c>
      <x:c r="B21" s="85" t="str">
        <x:v>Strategy</x:v>
      </x:c>
      <x:c r="C21" s="85" t="str">
        <x:v>Judge reason</x:v>
      </x:c>
      <x:c r="D21" s="85" t="str">
        <x:v>Review notes</x:v>
      </x:c>
      <x:c r="E21" s="85" t="str">
        <x:v>QC project ID</x:v>
      </x:c>
      <x:c r="F21" s="85" t="str">
        <x:v>QC backtest ID</x:v>
      </x:c>
      <x:c r="G21" s="56"/>
      <x:c r="H21" s="56"/>
      <x:c r="I21" s="56"/>
      <x:c r="J21" s="56"/>
      <x:c r="K21" s="56"/>
    </x:row>
    <x:row r="22" ht="230" customHeight="1">
      <x:c r="A22" s="57" t="str">
        <x:v>equity-rsi-overbought-oversold_v04</x:v>
      </x:c>
      <x:c r="B22" s="57" t="str">
        <x:v>QQQ hourly RSI</x:v>
      </x:c>
      <x:c r="C22" s="57" t="str">
        <x:v>The candidate implements every element the request names. It trades QQQ on hourly bars with an RSI(14, Wilders) mean-reversion rule: long when RSI &lt; 30, short when RSI &gt; 70, exit when RSI returns to 50. The backtest window is exactly Q4 2024 (Oct 1 to Dec 31). The request left the thresholds, RSI period and sizing open, and the candidate's choices are conventional and sensible. The only small gap is that there is no indicator warm-up, so roughly the first 14 hourly bars of October cannot generate trades. That is an unrequested detail and does not affect fidelity.</x:v>
      </x:c>
      <x:c r="D22" s="57" t="str">
        <x:v>Judge flagged this candidate.</x:v>
      </x:c>
      <x:c r="E22" s="57" t="str">
        <x:v>38141131</x:v>
      </x:c>
      <x:c r="F22" s="57" t="str">
        <x:v>2d57596ab61bf73cbf2c8c6b8cc3823e</x:v>
      </x:c>
      <x:c r="G22" s="56"/>
      <x:c r="H22" s="56"/>
      <x:c r="I22" s="56"/>
      <x:c r="J22" s="56"/>
      <x:c r="K22" s="56"/>
    </x:row>
    <x:row r="23" ht="230" customHeight="1">
      <x:c r="A23" s="57" t="str">
        <x:v>equity-monthly-roc-rotation_v06</x:v>
      </x:c>
      <x:c r="B23" s="57" t="str">
        <x:v>Monthly ROC rotation</x:v>
      </x:c>
      <x:c r="C23" s="57" t="str">
        <x:v>The candidate implements nearly every requested element. It trades SPY, EFA, EEM, AGG and GLD at minute resolution with a daily ROC(60) attached to each security object. Automatic warm-up is enabled, no history() calls are made, and naming is snake_case. It rebalances at month start +1 minute after open, holds the top 3 at 1/3 each, liquidates the rest, and liquidates everything when all ROC &lt; 0. Dates and cash are correct. The one explicit detail missed is that weights are set with per-symbol set_holdings(symbol, 1/3) instead of PortfolioTarget objects (lines 67-68). Secondary notes: the date/time rules omit an anchor symbol (lines 30-31), which may matter at execution but expresses the requested intent, and an unrequested IB brokerage model was added (line 14).</x:v>
      </x:c>
      <x:c r="D23" s="57" t="str">
        <x:v>Analyst review: unanchored month_start() misses some trading-month starts. Judge marked schedule as met; the original 4/5 is unchanged.</x:v>
      </x:c>
      <x:c r="E23" s="57" t="str">
        <x:v>38141844</x:v>
      </x:c>
      <x:c r="F23" s="57" t="str">
        <x:v>8d9406616b5914c82485eb7e74ba5bde</x:v>
      </x:c>
      <x:c r="G23" s="56"/>
      <x:c r="H23" s="56"/>
      <x:c r="I23" s="56"/>
      <x:c r="J23" s="56"/>
      <x:c r="K23" s="56"/>
    </x:row>
    <x:row r="24" ht="230" customHeight="1">
      <x:c r="A24" s="57" t="str">
        <x:v>futures_v05</x:v>
      </x:c>
      <x:c r="B24" s="57" t="str">
        <x:v>ES continuous futures</x:v>
      </x:c>
      <x:c r="C24" s="57" t="str">
        <x:v>The subscription matches the request exactly: ES continuous future, LAST_TRADING_DAY mapping, BACKWARDS_RATIO, depth 0, extended hours, a 0-92 day filter, and the requested dates. The entry rule (flat -&gt; market order for 1 contract of .mapped) is also present. The rollover rule is weak. The code does not use the on_symbol_changed_events algorithm hook. Instead it attaches a custom handler to a security-level event attribute. The 'flat' state and the rollover quantity come from a manually tracked counter (_position_qty), not from actual portfolio holdings. The counter is updated in two places (line 71 and line 80). It only counts fills where the symbol equals the current mapped contract. As a result it does not reliably reflect holdings, and the rollover will likely re-enter a quantity different from the old position. That breaks 'liquidate old, re-enter same qty on new'. One key rule is wrong, so the score is 3.</x:v>
      </x:c>
      <x:c r="D24" s="57" t="str">
        <x:v>Judge flagged this candidate.</x:v>
      </x:c>
      <x:c r="E24" s="57" t="str">
        <x:v>38141996</x:v>
      </x:c>
      <x:c r="F24" s="57" t="str">
        <x:v>092bece16e35fc361fe1eceb02488f5e</x:v>
      </x:c>
      <x:c r="G24" s="56"/>
      <x:c r="H24" s="56"/>
      <x:c r="I24" s="56"/>
      <x:c r="J24" s="56"/>
      <x:c r="K24" s="56"/>
    </x:row>
  </x:sheetData>
  <x:conditionalFormatting sqref="G4:G6">
    <x:cfRule type="expression" dxfId="0" priority="1">
      <x:formula>G4="runtime_error"</x:formula>
    </x:cfRule>
    <x:cfRule type="expression" dxfId="1" priority="2">
      <x:formula>G4="runtime_error"</x:formula>
    </x:cfRule>
    <x:cfRule type="expression" dxfId="2" priority="3">
      <x:formula>G4="runtime_error"</x:formula>
    </x:cfRule>
    <x:cfRule type="expression" dxfId="3" priority="4">
      <x:formula>G4="runtime_error"</x:formula>
    </x:cfRule>
  </x:conditionalFormatting>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8" hidden="0" customWidth="1"/>
    <x:col min="2" max="2" width="24" hidden="0" customWidth="1"/>
    <x:col min="3" max="3" width="62" hidden="0" customWidth="1"/>
    <x:col min="4" max="4" width="20" hidden="0" customWidth="1"/>
    <x:col min="5" max="5" width="110" hidden="0" customWidth="1"/>
    <x:col min="6" max="6" width="70" hidden="0" customWidth="1"/>
  </x:cols>
  <x:sheetData>
    <x:row r="1">
      <x:c r="A1" s="50" t="str">
        <x:v>Claude prompt-adherence evidence</x:v>
      </x:c>
    </x:row>
    <x:row r="3" ht="38" customHeight="1">
      <x:c r="A3" s="85" t="str">
        <x:v>Prompt ID</x:v>
      </x:c>
      <x:c r="B3" s="85" t="str">
        <x:v>Dimension</x:v>
      </x:c>
      <x:c r="C3" s="85" t="str">
        <x:v>Requested requirement</x:v>
      </x:c>
      <x:c r="D3" s="85" t="str">
        <x:v>Judge status</x:v>
      </x:c>
      <x:c r="E3" s="85" t="str">
        <x:v>Candidate line evidence</x:v>
      </x:c>
      <x:c r="F3" s="85" t="str">
        <x:v>Source JSON</x:v>
      </x:c>
    </x:row>
    <x:row r="4" ht="38" customHeight="1">
      <x:c r="A4" s="64" t="str">
        <x:v>equity-rsi-overbought-oversold_v04</x:v>
      </x:c>
      <x:c r="B4" s="64" t="str">
        <x:v>assets</x:v>
      </x:c>
      <x:c r="C4" s="64" t="str">
        <x:v>QQQ</x:v>
      </x:c>
      <x:c r="D4" s="64" t="str">
        <x:v>met</x:v>
      </x:c>
      <x:c r="E4" s="64" t="str">
        <x:v>Lines 20-21 add the QQQ equity and store its symbol.</x:v>
      </x:c>
      <x:c r="F4" s="64" t="str">
        <x:v>judge_trial3/scoring/qwen_qc_feedback_trial/equity-rsi-overbought-oversold_v04.json</x:v>
      </x:c>
    </x:row>
    <x:row r="5" ht="38" customHeight="1">
      <x:c r="A5" s="64" t="str">
        <x:v>equity-rsi-overbought-oversold_v04</x:v>
      </x:c>
      <x:c r="B5" s="64" t="str">
        <x:v>indicators</x:v>
      </x:c>
      <x:c r="C5" s="64" t="str">
        <x:v>RSI</x:v>
      </x:c>
      <x:c r="D5" s="64" t="str">
        <x:v>met</x:v>
      </x:c>
      <x:c r="E5" s="64" t="str">
        <x:v>Line 34 builds RSI with period 14 using Wilders smoothing at hourly resolution. This is the standard RSI construction.</x:v>
      </x:c>
      <x:c r="F5" s="64" t="str">
        <x:v>judge_trial3/scoring/qwen_qc_feedback_trial/equity-rsi-overbought-oversold_v04.json</x:v>
      </x:c>
    </x:row>
    <x:row r="6" ht="38" customHeight="1">
      <x:c r="A6" s="64" t="str">
        <x:v>equity-rsi-overbought-oversold_v04</x:v>
      </x:c>
      <x:c r="B6" s="64" t="str">
        <x:v>parameters</x:v>
      </x:c>
      <x:c r="C6" s="64" t="str">
        <x:v>Oversold/overbought levels and midline; exact values not specified</x:v>
      </x:c>
      <x:c r="D6" s="64" t="str">
        <x:v>unspecified</x:v>
      </x:c>
      <x:c r="E6" s="64" t="str">
        <x:v>Lines 24-27 set period 14, oversold 30, overbought 70 and midline 50. These are the conventional RSI values and a sensible reading of 'oversold/overbought' and 'midline'.</x:v>
      </x:c>
      <x:c r="F6" s="64" t="str">
        <x:v>judge_trial3/scoring/qwen_qc_feedback_trial/equity-rsi-overbought-oversold_v04.json</x:v>
      </x:c>
    </x:row>
    <x:row r="7" ht="52" customHeight="1">
      <x:c r="A7" s="64" t="str">
        <x:v>equity-rsi-overbought-oversold_v04</x:v>
      </x:c>
      <x:c r="B7" s="64" t="str">
        <x:v>entry_rules</x:v>
      </x:c>
      <x:c r="C7" s="64" t="str">
        <x:v>Long when oversold, short when overbought</x:v>
      </x:c>
      <x:c r="D7" s="64" t="str">
        <x:v>met</x:v>
      </x:c>
      <x:c r="E7" s="64" t="str">
        <x:v>Lines 72-77 go long when RSI &lt; 30 and lines 78-83 go short when RSI &gt; 70. Entries only fire when flat (line 70). Direct short-to-long flips are not possible, but RSI must cross 50 between those extremes, so the midline exit fires first anyway.</x:v>
      </x:c>
      <x:c r="F7" s="64" t="str">
        <x:v>judge_trial3/scoring/qwen_qc_feedback_trial/equity-rsi-overbought-oversold_v04.json</x:v>
      </x:c>
    </x:row>
    <x:row r="8" ht="38" customHeight="1">
      <x:c r="A8" s="64" t="str">
        <x:v>equity-rsi-overbought-oversold_v04</x:v>
      </x:c>
      <x:c r="B8" s="64" t="str">
        <x:v>exit_rules</x:v>
      </x:c>
      <x:c r="C8" s="64" t="str">
        <x:v>Exit at RSI midline</x:v>
      </x:c>
      <x:c r="D8" s="64" t="str">
        <x:v>met</x:v>
      </x:c>
      <x:c r="E8" s="64" t="str">
        <x:v>Lines 60-64 exit a long when RSI &gt;= 50 and lines 65-69 exit a short when RSI &lt;= 50. The end-of-backtest liquidation at lines 85-89 is harmless.</x:v>
      </x:c>
      <x:c r="F8" s="64" t="str">
        <x:v>judge_trial3/scoring/qwen_qc_feedback_trial/equity-rsi-overbought-oversold_v04.json</x:v>
      </x:c>
    </x:row>
    <x:row r="9" ht="38" customHeight="1">
      <x:c r="A9" s="64" t="str">
        <x:v>equity-rsi-overbought-oversold_v04</x:v>
      </x:c>
      <x:c r="B9" s="64" t="str">
        <x:v>date_range</x:v>
      </x:c>
      <x:c r="C9" s="64" t="str">
        <x:v>Q4 2024</x:v>
      </x:c>
      <x:c r="D9" s="64" t="str">
        <x:v>met</x:v>
      </x:c>
      <x:c r="E9" s="64" t="str">
        <x:v>Lines 13-14 set the window to 2024-10-01 through 2024-12-31.</x:v>
      </x:c>
      <x:c r="F9" s="64" t="str">
        <x:v>judge_trial3/scoring/qwen_qc_feedback_trial/equity-rsi-overbought-oversold_v04.json</x:v>
      </x:c>
    </x:row>
    <x:row r="10" ht="38" customHeight="1">
      <x:c r="A10" s="64" t="str">
        <x:v>equity-rsi-overbought-oversold_v04</x:v>
      </x:c>
      <x:c r="B10" s="64" t="str">
        <x:v>resolution_and_schedule</x:v>
      </x:c>
      <x:c r="C10" s="64" t="str">
        <x:v>Hourly</x:v>
      </x:c>
      <x:c r="D10" s="64" t="str">
        <x:v>met</x:v>
      </x:c>
      <x:c r="E10" s="64" t="str">
        <x:v>Line 20 subscribes at Resolution.HOUR and line 34 builds the RSI at the hourly bar. on_data (line 40) evaluates the rules on each hourly slice. With no warm-up, the first ~14 hours cannot trade, which is a minor and unrequested detail.</x:v>
      </x:c>
      <x:c r="F10" s="64" t="str">
        <x:v>judge_trial3/scoring/qwen_qc_feedback_trial/equity-rsi-overbought-oversold_v04.json</x:v>
      </x:c>
    </x:row>
    <x:row r="11" ht="38" customHeight="1">
      <x:c r="A11" s="64" t="str">
        <x:v>equity-rsi-overbought-oversold_v04</x:v>
      </x:c>
      <x:c r="B11" s="64" t="str">
        <x:v>position_sizing</x:v>
      </x:c>
      <x:c r="C11" s="64" t="str">
        <x:v>Not specified</x:v>
      </x:c>
      <x:c r="D11" s="64" t="str">
        <x:v>unspecified</x:v>
      </x:c>
      <x:c r="E11" s="64" t="str">
        <x:v>Line 74 sets holdings to +1.0 and line 80 sets -1.0, i.e. full-equity long or short. This is a sensible default for a single-asset strategy.</x:v>
      </x:c>
      <x:c r="F11" s="64" t="str">
        <x:v>judge_trial3/scoring/qwen_qc_feedback_trial/equity-rsi-overbought-oversold_v04.json</x:v>
      </x:c>
    </x:row>
    <x:row r="12" ht="38" customHeight="1">
      <x:c r="A12" s="64" t="str">
        <x:v>equity-monthly-roc-rotation_v06</x:v>
      </x:c>
      <x:c r="B12" s="64" t="str">
        <x:v>assets</x:v>
      </x:c>
      <x:c r="C12" s="64" t="str">
        <x:v>SPY, EFA, EEM, AGG, GLD</x:v>
      </x:c>
      <x:c r="D12" s="64" t="str">
        <x:v>met</x:v>
      </x:c>
      <x:c r="E12" s="64" t="str">
        <x:v>Line 16 lists exactly these five tickers. Line 24 adds each as an equity.</x:v>
      </x:c>
      <x:c r="F12" s="64" t="str">
        <x:v>judge_trial3/scoring/qwen_qc_feedback_trial/equity-monthly-roc-rotation_v06.json</x:v>
      </x:c>
    </x:row>
    <x:row r="13" ht="38" customHeight="1">
      <x:c r="A13" s="64" t="str">
        <x:v>equity-monthly-roc-rotation_v06</x:v>
      </x:c>
      <x:c r="B13" s="64" t="str">
        <x:v>indicators</x:v>
      </x:c>
      <x:c r="C13" s="64" t="str">
        <x:v>ROC(60) on daily bars, attached to each security object, auto warm-up, no history() calls</x:v>
      </x:c>
      <x:c r="D13" s="64" t="str">
        <x:v>met</x:v>
      </x:c>
      <x:c r="E13" s="64" t="str">
        <x:v>Line 26: sec.roc = self.roc(symbol, 60, Resolution.DAILY) attaches the indicator to the security object. Line 20 enables automatic_indicator_warm_up. There are no history() calls anywhere in the code.</x:v>
      </x:c>
      <x:c r="F13" s="64" t="str">
        <x:v>judge_trial3/scoring/qwen_qc_feedback_trial/equity-monthly-roc-rotation_v06.json</x:v>
      </x:c>
    </x:row>
    <x:row r="14" ht="38" customHeight="1">
      <x:c r="A14" s="64" t="str">
        <x:v>equity-monthly-roc-rotation_v06</x:v>
      </x:c>
      <x:c r="B14" s="64" t="str">
        <x:v>parameters</x:v>
      </x:c>
      <x:c r="C14" s="64" t="str">
        <x:v>ROC period 60, top 3, weight 1/3</x:v>
      </x:c>
      <x:c r="D14" s="64" t="str">
        <x:v>met</x:v>
      </x:c>
      <x:c r="E14" s="64" t="str">
        <x:v>Line 17 sets roc_window = 60. Line 59 selects [:3]. Line 68 uses weight 1.0/3.0.</x:v>
      </x:c>
      <x:c r="F14" s="64" t="str">
        <x:v>judge_trial3/scoring/qwen_qc_feedback_trial/equity-monthly-roc-rotation_v06.json</x:v>
      </x:c>
    </x:row>
    <x:row r="15" ht="52" customHeight="1">
      <x:c r="A15" s="64" t="str">
        <x:v>equity-monthly-roc-rotation_v06</x:v>
      </x:c>
      <x:c r="B15" s="64" t="str">
        <x:v>entry_rules</x:v>
      </x:c>
      <x:c r="C15" s="64" t="str">
        <x:v>At month start +1m, hold top 3 by ROC at 1/3 each via PortfolioTarget; liquidate the rest</x:v>
      </x:c>
      <x:c r="D15" s="64" t="str">
        <x:v>minor_mismatch</x:v>
      </x:c>
      <x:c r="E15" s="64" t="str">
        <x:v>Line 58 sorts by ROC descending. Line 59 takes the top 3. Lines 62-64 liquidate non-top-3 holdings. Lines 67-68 use set_holdings(symbol, 1/3) per symbol rather than building PortfolioTarget objects as explicitly requested. Line 45 ranks only ready indicators; with auto warm-up all should be ready, so this is a sensible choice.</x:v>
      </x:c>
      <x:c r="F15" s="64" t="str">
        <x:v>judge_trial3/scoring/qwen_qc_feedback_trial/equity-monthly-roc-rotation_v06.json</x:v>
      </x:c>
    </x:row>
    <x:row r="16" ht="38" customHeight="1">
      <x:c r="A16" s="64" t="str">
        <x:v>equity-monthly-roc-rotation_v06</x:v>
      </x:c>
      <x:c r="B16" s="64" t="str">
        <x:v>exit_rules</x:v>
      </x:c>
      <x:c r="C16" s="64" t="str">
        <x:v>If all ROC &lt; 0, liquidate all; liquidate assets not in the top 3</x:v>
      </x:c>
      <x:c r="D16" s="64" t="str">
        <x:v>met</x:v>
      </x:c>
      <x:c r="E16" s="64" t="str">
        <x:v>Lines 52-55: if all values are &lt; 0, call self.liquidate() and return. Lines 62-64 liquidate holdings outside the top 3.</x:v>
      </x:c>
      <x:c r="F16" s="64" t="str">
        <x:v>judge_trial3/scoring/qwen_qc_feedback_trial/equity-monthly-roc-rotation_v06.json</x:v>
      </x:c>
    </x:row>
    <x:row r="17" ht="38" customHeight="1">
      <x:c r="A17" s="64" t="str">
        <x:v>equity-monthly-roc-rotation_v06</x:v>
      </x:c>
      <x:c r="B17" s="64" t="str">
        <x:v>date_range</x:v>
      </x:c>
      <x:c r="C17" s="64" t="str">
        <x:v>2022-01-01 to 2024-12-31, 100k</x:v>
      </x:c>
      <x:c r="D17" s="64" t="str">
        <x:v>met</x:v>
      </x:c>
      <x:c r="E17" s="64" t="str">
        <x:v>Lines 11-13 set the start date 2022-01-01, end date 2024-12-31 and cash of 100_000.</x:v>
      </x:c>
      <x:c r="F17" s="64" t="str">
        <x:v>judge_trial3/scoring/qwen_qc_feedback_trial/equity-monthly-roc-rotation_v06.json</x:v>
      </x:c>
    </x:row>
    <x:row r="18" ht="38" customHeight="1">
      <x:c r="A18" s="64" t="str">
        <x:v>equity-monthly-roc-rotation_v06</x:v>
      </x:c>
      <x:c r="B18" s="64" t="str">
        <x:v>resolution_and_schedule</x:v>
      </x:c>
      <x:c r="C18" s="64" t="str">
        <x:v>Minute data; rebalance at month start, 1 minute after market open</x:v>
      </x:c>
      <x:c r="D18" s="64" t="str">
        <x:v>met</x:v>
      </x:c>
      <x:c r="E18" s="64" t="str">
        <x:v>Line 24 uses Resolution.MINUTE. Lines 29-33 schedule date_rules.month_start() with time_rules.after_market_open(1). No anchor symbol is passed to either rule; this may affect execution, but the logic matches the request.</x:v>
      </x:c>
      <x:c r="F18" s="64" t="str">
        <x:v>judge_trial3/scoring/qwen_qc_feedback_trial/equity-monthly-roc-rotation_v06.json</x:v>
      </x:c>
    </x:row>
    <x:row r="19" ht="38" customHeight="1">
      <x:c r="A19" s="64" t="str">
        <x:v>equity-monthly-roc-rotation_v06</x:v>
      </x:c>
      <x:c r="B19" s="64" t="str">
        <x:v>position_sizing</x:v>
      </x:c>
      <x:c r="C19" s="64" t="str">
        <x:v>1/3 each via PortfolioTarget</x:v>
      </x:c>
      <x:c r="D19" s="64" t="str">
        <x:v>minor_mismatch</x:v>
      </x:c>
      <x:c r="E19" s="64" t="str">
        <x:v>Line 68 sets an equal 1/3 weight via set_holdings with a float, not PortfolioTarget. The sizing is correct; only the mechanism differs from the request.</x:v>
      </x:c>
      <x:c r="F19" s="64" t="str">
        <x:v>judge_trial3/scoring/qwen_qc_feedback_trial/equity-monthly-roc-rotation_v06.json</x:v>
      </x:c>
    </x:row>
    <x:row r="20" ht="36" customHeight="1">
      <x:c r="A20" s="64" t="str">
        <x:v>futures_v05</x:v>
      </x:c>
      <x:c r="B20" s="64" t="str">
        <x:v>assets</x:v>
      </x:c>
      <x:c r="C20" s="64" t="str">
        <x:v>ES (SP_500_E_MINI) continuous future</x:v>
      </x:c>
      <x:c r="D20" s="64" t="str">
        <x:v>met</x:v>
      </x:c>
      <x:c r="E20" s="64" t="str">
        <x:v>Lines 19-20: add_future(Futures.Indices.SP_500_E_MINI, ...) creates the continuous contract.</x:v>
      </x:c>
      <x:c r="F20" s="64" t="str">
        <x:v>judge_trial3/scoring/qwen_qc_feedback_trial/futures_v05.json</x:v>
      </x:c>
    </x:row>
    <x:row r="21" ht="36" customHeight="1">
      <x:c r="A21" s="64" t="str">
        <x:v>futures_v05</x:v>
      </x:c>
      <x:c r="B21" s="64" t="str">
        <x:v>indicators</x:v>
      </x:c>
      <x:c r="C21" s="64" t="str">
        <x:v>Not specified</x:v>
      </x:c>
      <x:c r="D21" s="64" t="str">
        <x:v>unspecified</x:v>
      </x:c>
      <x:c r="E21" s="64" t="str">
        <x:v>No indicators were requested and none are used. This is sensible for a pure hold-and-roll strategy.</x:v>
      </x:c>
      <x:c r="F21" s="64" t="str">
        <x:v>judge_trial3/scoring/qwen_qc_feedback_trial/futures_v05.json</x:v>
      </x:c>
    </x:row>
    <x:row r="22" ht="38" customHeight="1">
      <x:c r="A22" s="64" t="str">
        <x:v>futures_v05</x:v>
      </x:c>
      <x:c r="B22" s="64" t="str">
        <x:v>parameters</x:v>
      </x:c>
      <x:c r="C22" s="64" t="str">
        <x:v>LAST_TRADING_DAY mapping, BACKWARDS_RATIO normalization, contract depth 0, extended market hours, filter 0-92 days</x:v>
      </x:c>
      <x:c r="D22" s="64" t="str">
        <x:v>met</x:v>
      </x:c>
      <x:c r="E22" s="64" t="str">
        <x:v>Line 21 sets extended_market_hours=True. Line 22 sets DataMappingMode.LAST_TRADING_DAY. Line 23 sets DataNormalizationMode.BACKWARDS_RATIO. Line 24 sets contract_depth_offset=0. Line 28 calls set_filter(0, 92).</x:v>
      </x:c>
      <x:c r="F22" s="64" t="str">
        <x:v>judge_trial3/scoring/qwen_qc_feedback_trial/futures_v05.json</x:v>
      </x:c>
    </x:row>
    <x:row r="23" ht="52" customHeight="1">
      <x:c r="A23" s="64" t="str">
        <x:v>futures_v05</x:v>
      </x:c>
      <x:c r="B23" s="64" t="str">
        <x:v>entry_rules</x:v>
      </x:c>
      <x:c r="C23" s="64" t="str">
        <x:v>When flat, place a market order for 1 contract of the mapped contract</x:v>
      </x:c>
      <x:c r="D23" s="64" t="str">
        <x:v>minor_mismatch</x:v>
      </x:c>
      <x:c r="E23" s="64" t="str">
        <x:v>Lines 68-71: if self._position_qty == 0, market_order(self._es.mapped, 1), then _position_qty = 1. 'Flat' is decided by a custom counter, not by portfolio holdings (e.g., portfolio.invested). Lines 78-80 also add fill_quantity to the same counter, so it can drift from real holdings. Line 61 additionally gates entry on data.contains_key(self._es).</x:v>
      </x:c>
      <x:c r="F23" s="64" t="str">
        <x:v>judge_trial3/scoring/qwen_qc_feedback_trial/futures_v05.json</x:v>
      </x:c>
    </x:row>
    <x:row r="24" ht="80" customHeight="1">
      <x:c r="A24" s="64" t="str">
        <x:v>futures_v05</x:v>
      </x:c>
      <x:c r="B24" s="64" t="str">
        <x:v>exit_rules</x:v>
      </x:c>
      <x:c r="C24" s="64" t="str">
        <x:v>on_symbol_changed_events: liquidate the old contract and re-enter the same quantity on the new contract</x:v>
      </x:c>
      <x:c r="D24" s="64" t="str">
        <x:v>key_mismatch</x:v>
      </x:c>
      <x:c r="E24" s="64" t="str">
        <x:v>Line 34 attaches a custom handler via self._es.on_symbol_changed_event instead of implementing the on_symbol_changed_events algorithm hook. Line 47 liquidates old_symbol, which is correct in intent. Line 52 re-enters self._position_qty instead of the actual old holding quantity. Line 78 only counts fills where order_event.symbol == self._es.mapped, so the old-contract liquidation is likely not subtracted while the new-contract re-entry is added. The tracked quantity can therefore grow, and later rolls would re-enter the wrong size. 'Same qty' is not reliably preserved.</x:v>
      </x:c>
      <x:c r="F24" s="64" t="str">
        <x:v>judge_trial3/scoring/qwen_qc_feedback_trial/futures_v05.json</x:v>
      </x:c>
    </x:row>
    <x:row r="25" ht="36" customHeight="1">
      <x:c r="A25" s="64" t="str">
        <x:v>futures_v05</x:v>
      </x:c>
      <x:c r="B25" s="64" t="str">
        <x:v>date_range</x:v>
      </x:c>
      <x:c r="C25" s="64" t="str">
        <x:v>2024-09-01 to 2024-12-31</x:v>
      </x:c>
      <x:c r="D25" s="64" t="str">
        <x:v>met</x:v>
      </x:c>
      <x:c r="E25" s="64" t="str">
        <x:v>Lines 13-14: set_start_date(2024, 9, 1) and set_end_date(2024, 12, 31).</x:v>
      </x:c>
      <x:c r="F25" s="64" t="str">
        <x:v>judge_trial3/scoring/qwen_qc_feedback_trial/futures_v05.json</x:v>
      </x:c>
    </x:row>
    <x:row r="26" ht="38" customHeight="1">
      <x:c r="A26" s="64" t="str">
        <x:v>futures_v05</x:v>
      </x:c>
      <x:c r="B26" s="64" t="str">
        <x:v>resolution_and_schedule</x:v>
      </x:c>
      <x:c r="C26" s="64" t="str">
        <x:v>Not specified</x:v>
      </x:c>
      <x:c r="D26" s="64" t="str">
        <x:v>unspecified</x:v>
      </x:c>
      <x:c r="E26" s="64" t="str">
        <x:v>Resolution is not set, so LEAN's default (minute) is used, with entry checks in on_data (line 55). This is a sensible default for the request.</x:v>
      </x:c>
      <x:c r="F26" s="64" t="str">
        <x:v>judge_trial3/scoring/qwen_qc_feedback_trial/futures_v05.json</x:v>
      </x:c>
    </x:row>
    <x:row r="27" ht="38" customHeight="1">
      <x:c r="A27" s="64" t="str">
        <x:v>futures_v05</x:v>
      </x:c>
      <x:c r="B27" s="64" t="str">
        <x:v>position_sizing</x:v>
      </x:c>
      <x:c r="C27" s="64" t="str">
        <x:v>1 contract on entry; same quantity on rollover</x:v>
      </x:c>
      <x:c r="D27" s="64" t="str">
        <x:v>key_mismatch</x:v>
      </x:c>
      <x:c r="E27" s="64" t="str">
        <x:v>Line 70 orders 1 contract on initial entry, which is correct. The rollover size at line 52 comes from the drift-prone counter (lines 71 and 80), not from portfolio[old_symbol].quantity. It may not equal the held quantity.</x:v>
      </x:c>
      <x:c r="F27" s="64" t="str">
        <x:v>judge_trial3/scoring/qwen_qc_feedback_trial/futures_v05.json</x:v>
      </x:c>
    </x:row>
  </x:sheetData>
  <x:pageMargins left="0.7" right="0.7" top="0.75" bottom="0.75" header="0.3" footer="0.3"/>
</x:worksheet>
</file>